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rojects\tariff\create-data\migrate_reference_data\source\"/>
    </mc:Choice>
  </mc:AlternateContent>
  <xr:revisionPtr revIDLastSave="0" documentId="10_ncr:100000_{922E5B96-AA0A-48A8-9D05-2B47AF5F9BAC}" xr6:coauthVersionLast="31" xr6:coauthVersionMax="31" xr10:uidLastSave="{00000000-0000-0000-0000-000000000000}"/>
  <bookViews>
    <workbookView xWindow="0" yWindow="0" windowWidth="16170" windowHeight="9555" xr2:uid="{B724F9FD-527C-4A95-969C-B8CCC70DC96A}"/>
  </bookViews>
  <sheets>
    <sheet name="New" sheetId="2" r:id="rId1"/>
    <sheet name="Updated" sheetId="4" r:id="rId2"/>
    <sheet name="Regulation groups" sheetId="3" r:id="rId3"/>
  </sheets>
  <functionGroups builtInGroupCount="19"/>
  <definedNames>
    <definedName name="regulation_group_ids">'Regulation groups'!$A$2:$A$28</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 i="2" l="1"/>
  <c r="G20" i="2"/>
  <c r="G36" i="2"/>
  <c r="G13" i="2"/>
  <c r="G29" i="2"/>
  <c r="G2" i="2"/>
  <c r="G18" i="2"/>
  <c r="G39" i="2"/>
  <c r="G8" i="2"/>
  <c r="G24" i="2"/>
  <c r="G40" i="2"/>
  <c r="G17" i="2"/>
  <c r="G33" i="2"/>
  <c r="G6" i="2"/>
  <c r="G22" i="2"/>
  <c r="G38" i="2"/>
  <c r="G11" i="2"/>
  <c r="G27" i="2"/>
  <c r="G32" i="2"/>
  <c r="G25" i="2"/>
  <c r="G41" i="2"/>
  <c r="G30" i="2"/>
  <c r="G19" i="2"/>
  <c r="G7" i="2"/>
  <c r="G12" i="2"/>
  <c r="G28" i="2"/>
  <c r="G5" i="2"/>
  <c r="G21" i="2"/>
  <c r="G37" i="2"/>
  <c r="G10" i="2"/>
  <c r="G26" i="2"/>
  <c r="G42" i="2"/>
  <c r="G15" i="2"/>
  <c r="G31" i="2"/>
  <c r="G16" i="2"/>
  <c r="G9" i="2"/>
  <c r="G14" i="2"/>
  <c r="G3" i="2"/>
  <c r="G35" i="2"/>
  <c r="G34" i="2"/>
  <c r="G23" i="2"/>
</calcChain>
</file>

<file path=xl/sharedStrings.xml><?xml version="1.0" encoding="utf-8"?>
<sst xmlns="http://schemas.openxmlformats.org/spreadsheetml/2006/main" count="275" uniqueCount="166">
  <si>
    <t>REGULATION_GROUP_ID</t>
  </si>
  <si>
    <t>INFORMATION_TEXT</t>
  </si>
  <si>
    <t>ACC</t>
  </si>
  <si>
    <t>Excises</t>
  </si>
  <si>
    <t>ADD</t>
  </si>
  <si>
    <t>Additional duties (AGRI)</t>
  </si>
  <si>
    <t>ADH</t>
  </si>
  <si>
    <t>Monetary and accession compensatory amounts</t>
  </si>
  <si>
    <t>AGR</t>
  </si>
  <si>
    <t>Agricultural amounts</t>
  </si>
  <si>
    <t>APL</t>
  </si>
  <si>
    <t>Applicable duty rates, other than from the CN</t>
  </si>
  <si>
    <t>CIT</t>
  </si>
  <si>
    <t>CITES</t>
  </si>
  <si>
    <t>CUN</t>
  </si>
  <si>
    <t>Customs Union</t>
  </si>
  <si>
    <t>DIV</t>
  </si>
  <si>
    <t>Various</t>
  </si>
  <si>
    <t>DNC</t>
  </si>
  <si>
    <t>Duties coming from the CN</t>
  </si>
  <si>
    <t>DUM</t>
  </si>
  <si>
    <t>Anti-dumping duties, countervailing duties</t>
  </si>
  <si>
    <t>EPF</t>
  </si>
  <si>
    <t>Provisional exclusion</t>
  </si>
  <si>
    <t>FTA</t>
  </si>
  <si>
    <t>Free Trade Agreement</t>
  </si>
  <si>
    <t>KON</t>
  </si>
  <si>
    <t>Non preferential tariff quotas</t>
  </si>
  <si>
    <t>MLA</t>
  </si>
  <si>
    <t>Entry into free circulation, Export authorization</t>
  </si>
  <si>
    <t>OPQ</t>
  </si>
  <si>
    <t>Outward processing tariff preference</t>
  </si>
  <si>
    <t>PRF</t>
  </si>
  <si>
    <t>Preferential duty</t>
  </si>
  <si>
    <t>PRS</t>
  </si>
  <si>
    <t>Prohibition</t>
  </si>
  <si>
    <t>RDR</t>
  </si>
  <si>
    <t>Reduced duty rates in the framework of the GATT</t>
  </si>
  <si>
    <t>REX</t>
  </si>
  <si>
    <t>Export refund (basic products)</t>
  </si>
  <si>
    <t>RIX</t>
  </si>
  <si>
    <t>Export refund (ingredients)</t>
  </si>
  <si>
    <t>SPG</t>
  </si>
  <si>
    <t>Generalized system of preferences</t>
  </si>
  <si>
    <t>SUR</t>
  </si>
  <si>
    <t>Posterior surveillance</t>
  </si>
  <si>
    <t>SUS</t>
  </si>
  <si>
    <t>Erga Omnes Suspensions</t>
  </si>
  <si>
    <t>TVA</t>
  </si>
  <si>
    <t>VAT</t>
  </si>
  <si>
    <t>TXC</t>
  </si>
  <si>
    <t>Countervailing charge</t>
  </si>
  <si>
    <t>UTS</t>
  </si>
  <si>
    <t>Supplementary unit</t>
  </si>
  <si>
    <t>VAU</t>
  </si>
  <si>
    <t>Unit price, standard import value</t>
  </si>
  <si>
    <t>ID</t>
  </si>
  <si>
    <t>Description</t>
  </si>
  <si>
    <t>VALIDITY_START_DATE</t>
  </si>
  <si>
    <t>BASE_REGULATION_ID</t>
  </si>
  <si>
    <t>URL</t>
  </si>
  <si>
    <t>LEGISLATION_ID</t>
  </si>
  <si>
    <t>N9909990</t>
  </si>
  <si>
    <t>N1900090</t>
  </si>
  <si>
    <t>N1900050</t>
  </si>
  <si>
    <t>N1900220</t>
  </si>
  <si>
    <t>N1900110</t>
  </si>
  <si>
    <t>N1900230</t>
  </si>
  <si>
    <t>N1900250</t>
  </si>
  <si>
    <t>N1900130</t>
  </si>
  <si>
    <t>N1900290</t>
  </si>
  <si>
    <t>N1900120</t>
  </si>
  <si>
    <t>N1900010</t>
  </si>
  <si>
    <t>N1900300</t>
  </si>
  <si>
    <t>N1900200</t>
  </si>
  <si>
    <t>N1900140</t>
  </si>
  <si>
    <t>N1900020</t>
  </si>
  <si>
    <t>N1900260</t>
  </si>
  <si>
    <t>N1900080</t>
  </si>
  <si>
    <t>N1900240</t>
  </si>
  <si>
    <t>N1900040</t>
  </si>
  <si>
    <t>N1900150</t>
  </si>
  <si>
    <t>N1900060</t>
  </si>
  <si>
    <t>N1900310</t>
  </si>
  <si>
    <t>N1900280</t>
  </si>
  <si>
    <t>N1900030</t>
  </si>
  <si>
    <t>N1900170</t>
  </si>
  <si>
    <t>N1900180</t>
  </si>
  <si>
    <t>N1900270</t>
  </si>
  <si>
    <t>N1900210</t>
  </si>
  <si>
    <t>N1900070</t>
  </si>
  <si>
    <t>N1900160</t>
  </si>
  <si>
    <t>N1900100</t>
  </si>
  <si>
    <t>www.test.com</t>
  </si>
  <si>
    <t>introducing prior Union surveillance of imports of certain iron and steel products originating in certain third countries</t>
  </si>
  <si>
    <t>amending Implementing Regulation (EU) 2016/670 introducing prior Union surveillance of imports of certain iron and steel products originating in certain third countries</t>
  </si>
  <si>
    <t>imposing a definitive anti-dumping duty on imports of certain aluminium road wheels originating in the People's Republic of China following an expiry review pursuant to Article 11(2) of Regulation (EU) 2016/1036 of the European Parliament and of the Council</t>
  </si>
  <si>
    <t>imposing a definitive anti-dumping duty on imports of certain welded tubes and pipes of iron or non-alloy steel originating in Belarus, the People's Republic of China and Russia and terminating the proceeding for imports of certain welded tubes and pipes of iron or non-alloy steel originating in Ukraine following an expiry review pursuant to Article 11(2) of Council Regulation (EC) No 1225/2009</t>
  </si>
  <si>
    <t>imposing a definitive anti-dumping duty and collecting definitively the provisional duty imposed on imports of certain cast iron articles originating in the People's Republic of China and terminating the investigation on imports of certain cast iron articles originating in India</t>
  </si>
  <si>
    <t>imposing a definitive anti-dumping duty on imports of bioethanol originating in the United States of America</t>
  </si>
  <si>
    <t xml:space="preserve">imposing a definitive anti-dumping duty and collecting definitively the provisional duty imposed on imports of certain corrosion resistant steels originating in the People's Republic of China </t>
  </si>
  <si>
    <t>amending Implementing Regulation (EU) No 461/2013 imposing a definitive countervailing duty on imports of certain polyethylene terephthalate (PET) originating in India following an expiry review pursuant to Article 18 of Regulation (EC) No 597/2009</t>
  </si>
  <si>
    <t>imposing a definitive anti-dumping duty and collecting definitively the provisional duty imposed on imports of certain organic coated steel products originating in the People???s Republic of China</t>
  </si>
  <si>
    <t>imposing a countervailing duty on imports of certain organic coated steel products originating in the People's Republic of China</t>
  </si>
  <si>
    <t>imposing a definitive anti-dumping duty and collecting definitively the provisional duty imposed on imports of certain aluminium foils in rolls originating in the People???s Republic of China</t>
  </si>
  <si>
    <t>amending Implementing Regulation (EU) No 999/2014 imposing a definitive anti-dumping duty on imports of ammonium nitrate originating in Russia following an expiry review pursuant to Article 11(2) of Council Regulation (EC) No 1225/2009</t>
  </si>
  <si>
    <t>imposing a definitive countervailing duty and collecting definitively the provisional duty imposed on imports of certain rainbow trout originating in Turkey</t>
  </si>
  <si>
    <t>imposing a definitive anti-dumping duty and collecting definitively the provisional duty imposed on imports of certain heavy plate of non-alloy or other alloy steel originating in the People's Republic of China</t>
  </si>
  <si>
    <t>imposing a definitive anti-dumping duty and collecting definitively the provisional duty imposed on imports of ceramic tableware and kitchenware originating in the People's Republic of China</t>
  </si>
  <si>
    <t>imposing a definitive countervailing duty on imports of certain polyethylene terephthalate (PET) originating in India following an expiry review pursuant to Article 18 of Regulation (EC) No 597/2009</t>
  </si>
  <si>
    <t>imposing a definitive anti-dumping duty on imports of steel ropes and cables originating in the People's Republic of China as extended to imports of steel ropes and cables consigned from Morocco and the Republic of Korea, whether declared as originating in these countries or not, following an expiry review pursuant to Article 11(2) of Regulation (EU) 2016/1036 of the European Parliament and of the Council</t>
  </si>
  <si>
    <t>Commission Implementing Regulation (EU) 2018/640 of 25 April 2018 introducing prior Union surveillance of imports of certain aluminium products originating in certain third countries</t>
  </si>
  <si>
    <t>amending Implementing Regulation (EU) 2015/1519 imposing definitive countervailing duties on imports of biodiesel originating in the United States of America following an expiry review pursuant to Article 18 of Council Regulation (EC) No 597/2009</t>
  </si>
  <si>
    <t>amending Implementing Regulation (EU) 2015/1518 imposing a definitive anti-dumping duty on imports of biodiesel originating in the United States of America following an expiry review pursuant to Article 11(2) of Council Regulation (EC) No 1225/2009</t>
  </si>
  <si>
    <t>imposing a provisional anti-dumping duty on imports of certain pneumatic tyres, new or retreaded, of rubber, of a kind used for buses or lorries, with a load index exceeding 121 originating in the People's Republic of China, and amending Implementing Regulation (EU) 2018/163</t>
  </si>
  <si>
    <t>imposing a definitive anti-dumping duty on imports of ironing boards originating in the People's Republic of China, and repealing the anti-dumping measures on imports of ironing boards originating in Ukraine following an expiry review pursuant to Article 11(2) and a partial interim review pursuant to Article 11(3) of Regulation (EC) No 1225/2009</t>
  </si>
  <si>
    <t>imposing a definitive anti-dumping duty on imports of certain continuous filament glass fibre products originating in the People's Republic of China following an expiry review pursuant to Article 11(2) of Regulation (EU) 2016/1036 of the European Parliament and of the Council</t>
  </si>
  <si>
    <t>amending Council Implementing Regulation (EU) No 412/2013 imposing a definitive anti-dumping duty and collecting definitively the provisional duty imposed on imports of ceramic tableware and kitchenware originating in the People's Republic of China</t>
  </si>
  <si>
    <t>imposing a definitive anti-dumping duty on imports of certain pre- and post-stressing wires and wire strands of non-alloy steel (PSC wires and strands) originating in the People's Republic of China following an expiry review pursuant to Article 11(2) of Council Regulation (EC) No 1225/2009</t>
  </si>
  <si>
    <t>imposing definitive countervailing duties on imports of certain hot-rolled flat products of iron, non-alloy or other alloy steel originating in the People's Republic of China and amending Commission Implementing Regulation (EU) 2017/649 imposing a definitive anti-dumping duty on imports of certain hot-rolled flat products of iron, non-alloy or other alloy steel originating in the People's Republic of China</t>
  </si>
  <si>
    <t>imposing a definitive anti-dumping duty on imports of ammonium nitrate originating in Russia following an expiry review pursuant to Article 11(2) of Council Regulation (EC) No 1225/2009</t>
  </si>
  <si>
    <t>Commission Implementing Regulation (EU) 2018/1121 of 10 August 2018 amending Commission Implementing Regulation (EU) 2015/1518 imposing a definitive anti-dumping duty on imports of biodiesel originating in the United States of America following an expiry review pursuant to Article 11(2) of Council Regulation (EC) No 1225/2009</t>
  </si>
  <si>
    <t>imposing a definitive countervailing duty on imports of certain stainless steel bars and rods originating in India following an expiry review under Article 18 of Regulation (EU) 2016/1037 of the European Parliament and the Council</t>
  </si>
  <si>
    <t>imposing a definitive anti-dumping duty on imports of chamois leather originating in the People???s Republic of China following an expiry review pursuant to Article 11(2) of Regulation (EC) No 1225/2009</t>
  </si>
  <si>
    <t>imposing a definitive anti-dumping duty on imports of high fatigue performance steel concrete reinforcement bars originating in the People's Republic of China</t>
  </si>
  <si>
    <t>imposing a definitive anti-dumping duty and collecting definitively the provisional duty imposed on imports of certain cold rolled flat steel products originating in the People's Republic of China and the Russian Federation</t>
  </si>
  <si>
    <t>amending Council Implementing Regulation (EU) No 461/2013 imposing a definitive countervailing duty on imports of certain polyethylene terephthalate (PET) originating in India</t>
  </si>
  <si>
    <t>imposing a definitive countervailing duty on imports of certain filament glass fibre products originating in the People's Republic of China and amending Council Implementing Regulation (EU) No 248/2011 imposing a definitive anti-dumping duty on imports of certain continuous filament glass fibre products originating in the People's Republic of China</t>
  </si>
  <si>
    <t>imposing a definitive anti-dumping duty on imports of biodiesel originating in the United States of America following an expiry review pursuant to Article 11(2) of Council Regulation (EC) No 1225/2009</t>
  </si>
  <si>
    <t>imposing definitive countervailing duties on imports of biodiesel originating in the United States of America following an expiry review pursuant to Article 18 of Council Regulation (EC) No 597/2009</t>
  </si>
  <si>
    <t>imposing a definitive anti-dumping duty on imports of certain hot-rolled flat products of iron, non-alloy or other alloy steel originating in Brazil, Iran, Russia and Ukraine and terminating the investigation on imports of certain hot-rolled flat products of iron, non-alloy or other alloy steel originating in Serbia</t>
  </si>
  <si>
    <t>imposing a definitive anti-dumping duty on imports of wire rod originating in the People's Republic of China following an expiry review pursuant to Article 11(2) of Council Regulation (EC) No 1225/2009</t>
  </si>
  <si>
    <t>imposing a definitive anti-dumping duty on imports of certain grain-oriented flat-rolled products of silicon-electrical steel originating in the People's Republic of China, Japan, the Republic of Korea, the Russian Federation and the United States of America</t>
  </si>
  <si>
    <t>imposing a definitive anti-dumping duty on imports of ceramic tiles originating in the People's Republic of China following an expiry review pursuant to Article 11(2) of Regulation (EU) 2016/1036 of the European Parliament and of the Council</t>
  </si>
  <si>
    <t>Public notice 999 of 2099</t>
  </si>
  <si>
    <t>Public notice 9 of 2019</t>
  </si>
  <si>
    <t>Public notice 5 of 2019</t>
  </si>
  <si>
    <t>Public notice 22 of 2019</t>
  </si>
  <si>
    <t>Public notice 11 of 2019</t>
  </si>
  <si>
    <t>Public notice 23 of 2019</t>
  </si>
  <si>
    <t>Public notice 25 of 2019</t>
  </si>
  <si>
    <t>Public notice 13 of 2019</t>
  </si>
  <si>
    <t>Public notice 29 of 2019</t>
  </si>
  <si>
    <t>Public notice 12 of 2019</t>
  </si>
  <si>
    <t>Public notice 1 of 2019</t>
  </si>
  <si>
    <t>Public notice 30 of 2019</t>
  </si>
  <si>
    <t>Public notice 20 of 2019</t>
  </si>
  <si>
    <t>Public notice 14 of 2019</t>
  </si>
  <si>
    <t>Public notice 2 of 2019</t>
  </si>
  <si>
    <t>Public notice 26 of 2019</t>
  </si>
  <si>
    <t>Public notice 8 of 2019</t>
  </si>
  <si>
    <t>Public notice 24 of 2019</t>
  </si>
  <si>
    <t>Public notice 4 of 2019</t>
  </si>
  <si>
    <t>Public notice 15 of 2019</t>
  </si>
  <si>
    <t>Public notice 6 of 2019</t>
  </si>
  <si>
    <t>Public notice 31 of 2019</t>
  </si>
  <si>
    <t>Public notice 28 of 2019</t>
  </si>
  <si>
    <t>Public notice 3 of 2019</t>
  </si>
  <si>
    <t>Public notice 17 of 2019</t>
  </si>
  <si>
    <t>Public notice 18 of 2019</t>
  </si>
  <si>
    <t>Public notice 27 of 2019</t>
  </si>
  <si>
    <t>Public notice 21 of 2019</t>
  </si>
  <si>
    <t>Public notice 7 of 2019</t>
  </si>
  <si>
    <t>Public notice 16 of 2019</t>
  </si>
  <si>
    <t>Public notice 10 of 2019</t>
  </si>
  <si>
    <t>FORMULA FOR USE IN LEGISLATION_ID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</si>
</sst>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0"/>
      <name val="Calibri"/>
      <family val="2"/>
      <scheme val="minor"/>
    </font>
    <font>
      <u/>
      <sz val="11"/>
      <color theme="10"/>
      <name val="Calibri"/>
      <family val="2"/>
      <scheme val="minor"/>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0" fillId="0" borderId="0" xfId="0" applyAlignment="1">
      <alignment vertical="top"/>
    </xf>
    <xf numFmtId="0" fontId="1" fillId="2" borderId="0" xfId="0" applyFont="1" applyFill="1"/>
    <xf numFmtId="0" fontId="1" fillId="2" borderId="1" xfId="0" applyFont="1" applyFill="1" applyBorder="1" applyAlignment="1">
      <alignment horizontal="left" vertical="top" wrapText="1"/>
    </xf>
    <xf numFmtId="0" fontId="1" fillId="2" borderId="1" xfId="0" applyFont="1" applyFill="1" applyBorder="1" applyAlignment="1">
      <alignment vertical="top" wrapText="1"/>
    </xf>
    <xf numFmtId="0" fontId="0" fillId="0" borderId="1" xfId="0" applyBorder="1" applyAlignment="1">
      <alignment horizontal="left" vertical="top" wrapText="1"/>
    </xf>
    <xf numFmtId="14" fontId="0" fillId="0" borderId="1" xfId="0" applyNumberFormat="1" applyBorder="1" applyAlignment="1">
      <alignment horizontal="left" vertical="top" wrapText="1"/>
    </xf>
    <xf numFmtId="0" fontId="0" fillId="0" borderId="1" xfId="0" applyBorder="1" applyAlignment="1">
      <alignment vertical="top"/>
    </xf>
    <xf numFmtId="0" fontId="2" fillId="0" borderId="1" xfId="1" applyBorder="1" applyAlignment="1">
      <alignment vertical="top"/>
    </xf>
    <xf numFmtId="0" fontId="0" fillId="0" borderId="1" xfId="0" applyBorder="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www.test.com/" TargetMode="External"/><Relationship Id="rId1" Type="http://schemas.openxmlformats.org/officeDocument/2006/relationships/hyperlink" Target="http://www.tes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64BD5-F463-4A11-973E-8749F58C3A6F}">
  <sheetPr codeName="Sheet1"/>
  <dimension ref="A1:G42"/>
  <sheetViews>
    <sheetView tabSelected="1" workbookViewId="0">
      <pane ySplit="1" topLeftCell="A2" activePane="bottomLeft" state="frozen"/>
      <selection pane="bottomLeft" activeCell="A2" sqref="A2"/>
    </sheetView>
  </sheetViews>
  <sheetFormatPr defaultRowHeight="15" x14ac:dyDescent="0.25"/>
  <cols>
    <col min="1" max="1" width="21.140625" style="5" bestFit="1" customWidth="1"/>
    <col min="2" max="2" width="21.42578125" style="5" bestFit="1" customWidth="1"/>
    <col min="3" max="3" width="23.42578125" style="7" bestFit="1" customWidth="1"/>
    <col min="4" max="4" width="24" style="7" bestFit="1" customWidth="1"/>
    <col min="5" max="5" width="23" style="7" bestFit="1" customWidth="1"/>
    <col min="6" max="6" width="86.85546875" style="5" customWidth="1"/>
    <col min="7" max="7" width="25.7109375" style="7" customWidth="1"/>
    <col min="8" max="16384" width="9.140625" style="1"/>
  </cols>
  <sheetData>
    <row r="1" spans="1:7" ht="30" x14ac:dyDescent="0.25">
      <c r="A1" s="3" t="s">
        <v>59</v>
      </c>
      <c r="B1" s="3" t="s">
        <v>58</v>
      </c>
      <c r="C1" s="4" t="s">
        <v>0</v>
      </c>
      <c r="D1" s="4" t="s">
        <v>61</v>
      </c>
      <c r="E1" s="4" t="s">
        <v>60</v>
      </c>
      <c r="F1" s="3" t="s">
        <v>1</v>
      </c>
      <c r="G1" s="4" t="s">
        <v>165</v>
      </c>
    </row>
    <row r="2" spans="1:7" ht="30" x14ac:dyDescent="0.25">
      <c r="A2" s="5" t="s">
        <v>62</v>
      </c>
      <c r="B2" s="6">
        <v>43554</v>
      </c>
      <c r="C2" s="7" t="s">
        <v>20</v>
      </c>
      <c r="D2" s="7" t="s">
        <v>134</v>
      </c>
      <c r="E2" s="8" t="s">
        <v>93</v>
      </c>
      <c r="F2" s="9" t="s">
        <v>94</v>
      </c>
      <c r="G2" s="7" t="str">
        <f>dumpreg($A2)</f>
        <v>Public notice 999 of 2099</v>
      </c>
    </row>
    <row r="3" spans="1:7" ht="30" x14ac:dyDescent="0.25">
      <c r="A3" s="5" t="s">
        <v>62</v>
      </c>
      <c r="B3" s="6">
        <v>43554</v>
      </c>
      <c r="C3" s="7" t="s">
        <v>20</v>
      </c>
      <c r="D3" s="7" t="s">
        <v>134</v>
      </c>
      <c r="E3" s="8" t="s">
        <v>93</v>
      </c>
      <c r="F3" s="9" t="s">
        <v>95</v>
      </c>
      <c r="G3" s="7" t="str">
        <f t="shared" ref="G3:G42" si="0">dumpreg($A3)</f>
        <v>Public notice 999 of 2099</v>
      </c>
    </row>
    <row r="4" spans="1:7" ht="45" x14ac:dyDescent="0.25">
      <c r="A4" s="5" t="s">
        <v>63</v>
      </c>
      <c r="B4" s="6">
        <v>43554</v>
      </c>
      <c r="C4" s="7" t="s">
        <v>20</v>
      </c>
      <c r="D4" s="7" t="s">
        <v>135</v>
      </c>
      <c r="E4" s="8" t="s">
        <v>93</v>
      </c>
      <c r="F4" s="9" t="s">
        <v>96</v>
      </c>
      <c r="G4" s="7" t="str">
        <f t="shared" si="0"/>
        <v>Public notice 9 of 2019</v>
      </c>
    </row>
    <row r="5" spans="1:7" ht="75" x14ac:dyDescent="0.25">
      <c r="A5" s="5" t="s">
        <v>64</v>
      </c>
      <c r="B5" s="6">
        <v>43554</v>
      </c>
      <c r="C5" s="7" t="s">
        <v>20</v>
      </c>
      <c r="D5" s="7" t="s">
        <v>136</v>
      </c>
      <c r="E5" s="8" t="s">
        <v>93</v>
      </c>
      <c r="F5" s="9" t="s">
        <v>97</v>
      </c>
      <c r="G5" s="7" t="str">
        <f t="shared" si="0"/>
        <v>Public notice 5 of 2019</v>
      </c>
    </row>
    <row r="6" spans="1:7" ht="45" x14ac:dyDescent="0.25">
      <c r="A6" s="5" t="s">
        <v>65</v>
      </c>
      <c r="B6" s="6">
        <v>43554</v>
      </c>
      <c r="C6" s="7" t="s">
        <v>20</v>
      </c>
      <c r="D6" s="7" t="s">
        <v>137</v>
      </c>
      <c r="E6" s="8" t="s">
        <v>93</v>
      </c>
      <c r="F6" s="9" t="s">
        <v>98</v>
      </c>
      <c r="G6" s="7" t="str">
        <f t="shared" si="0"/>
        <v>Public notice 22 of 2019</v>
      </c>
    </row>
    <row r="7" spans="1:7" ht="30" x14ac:dyDescent="0.25">
      <c r="A7" s="5" t="s">
        <v>66</v>
      </c>
      <c r="B7" s="6">
        <v>43554</v>
      </c>
      <c r="C7" s="7" t="s">
        <v>20</v>
      </c>
      <c r="D7" s="7" t="s">
        <v>138</v>
      </c>
      <c r="E7" s="8" t="s">
        <v>93</v>
      </c>
      <c r="F7" s="9" t="s">
        <v>99</v>
      </c>
      <c r="G7" s="7" t="str">
        <f t="shared" si="0"/>
        <v>Public notice 11 of 2019</v>
      </c>
    </row>
    <row r="8" spans="1:7" ht="45" x14ac:dyDescent="0.25">
      <c r="A8" s="5" t="s">
        <v>67</v>
      </c>
      <c r="B8" s="6">
        <v>43554</v>
      </c>
      <c r="C8" s="7" t="s">
        <v>20</v>
      </c>
      <c r="D8" s="7" t="s">
        <v>139</v>
      </c>
      <c r="E8" s="8" t="s">
        <v>93</v>
      </c>
      <c r="F8" s="9" t="s">
        <v>100</v>
      </c>
      <c r="G8" s="7" t="str">
        <f t="shared" si="0"/>
        <v>Public notice 23 of 2019</v>
      </c>
    </row>
    <row r="9" spans="1:7" ht="45" x14ac:dyDescent="0.25">
      <c r="A9" s="5" t="s">
        <v>68</v>
      </c>
      <c r="B9" s="6">
        <v>43554</v>
      </c>
      <c r="C9" s="7" t="s">
        <v>20</v>
      </c>
      <c r="D9" s="7" t="s">
        <v>140</v>
      </c>
      <c r="E9" s="8" t="s">
        <v>93</v>
      </c>
      <c r="F9" s="9" t="s">
        <v>101</v>
      </c>
      <c r="G9" s="7" t="str">
        <f t="shared" si="0"/>
        <v>Public notice 25 of 2019</v>
      </c>
    </row>
    <row r="10" spans="1:7" ht="45" x14ac:dyDescent="0.25">
      <c r="A10" s="5" t="s">
        <v>69</v>
      </c>
      <c r="B10" s="6">
        <v>43554</v>
      </c>
      <c r="C10" s="7" t="s">
        <v>20</v>
      </c>
      <c r="D10" s="7" t="s">
        <v>141</v>
      </c>
      <c r="E10" s="8" t="s">
        <v>93</v>
      </c>
      <c r="F10" s="9" t="s">
        <v>102</v>
      </c>
      <c r="G10" s="7" t="str">
        <f t="shared" si="0"/>
        <v>Public notice 13 of 2019</v>
      </c>
    </row>
    <row r="11" spans="1:7" ht="30" x14ac:dyDescent="0.25">
      <c r="A11" s="5" t="s">
        <v>70</v>
      </c>
      <c r="B11" s="6">
        <v>43554</v>
      </c>
      <c r="C11" s="7" t="s">
        <v>20</v>
      </c>
      <c r="D11" s="7" t="s">
        <v>142</v>
      </c>
      <c r="E11" s="8" t="s">
        <v>93</v>
      </c>
      <c r="F11" s="9" t="s">
        <v>103</v>
      </c>
      <c r="G11" s="7" t="str">
        <f t="shared" si="0"/>
        <v>Public notice 29 of 2019</v>
      </c>
    </row>
    <row r="12" spans="1:7" ht="45" x14ac:dyDescent="0.25">
      <c r="A12" s="5" t="s">
        <v>71</v>
      </c>
      <c r="B12" s="6">
        <v>43554</v>
      </c>
      <c r="C12" s="7" t="s">
        <v>20</v>
      </c>
      <c r="D12" s="7" t="s">
        <v>143</v>
      </c>
      <c r="E12" s="8" t="s">
        <v>93</v>
      </c>
      <c r="F12" s="9" t="s">
        <v>104</v>
      </c>
      <c r="G12" s="7" t="str">
        <f t="shared" si="0"/>
        <v>Public notice 12 of 2019</v>
      </c>
    </row>
    <row r="13" spans="1:7" ht="45" x14ac:dyDescent="0.25">
      <c r="A13" s="5" t="s">
        <v>72</v>
      </c>
      <c r="B13" s="6">
        <v>43554</v>
      </c>
      <c r="C13" s="7" t="s">
        <v>20</v>
      </c>
      <c r="D13" s="7" t="s">
        <v>144</v>
      </c>
      <c r="E13" s="8" t="s">
        <v>93</v>
      </c>
      <c r="F13" s="9" t="s">
        <v>105</v>
      </c>
      <c r="G13" s="7" t="str">
        <f t="shared" si="0"/>
        <v>Public notice 1 of 2019</v>
      </c>
    </row>
    <row r="14" spans="1:7" ht="30" x14ac:dyDescent="0.25">
      <c r="A14" s="5" t="s">
        <v>73</v>
      </c>
      <c r="B14" s="6">
        <v>43554</v>
      </c>
      <c r="C14" s="7" t="s">
        <v>20</v>
      </c>
      <c r="D14" s="7" t="s">
        <v>145</v>
      </c>
      <c r="E14" s="8" t="s">
        <v>93</v>
      </c>
      <c r="F14" s="9" t="s">
        <v>106</v>
      </c>
      <c r="G14" s="7" t="str">
        <f t="shared" si="0"/>
        <v>Public notice 30 of 2019</v>
      </c>
    </row>
    <row r="15" spans="1:7" ht="45" x14ac:dyDescent="0.25">
      <c r="A15" s="5" t="s">
        <v>74</v>
      </c>
      <c r="B15" s="6">
        <v>43554</v>
      </c>
      <c r="C15" s="7" t="s">
        <v>20</v>
      </c>
      <c r="D15" s="7" t="s">
        <v>146</v>
      </c>
      <c r="E15" s="8" t="s">
        <v>93</v>
      </c>
      <c r="F15" s="9" t="s">
        <v>107</v>
      </c>
      <c r="G15" s="7" t="str">
        <f t="shared" si="0"/>
        <v>Public notice 20 of 2019</v>
      </c>
    </row>
    <row r="16" spans="1:7" ht="45" x14ac:dyDescent="0.25">
      <c r="A16" s="5" t="s">
        <v>75</v>
      </c>
      <c r="B16" s="6">
        <v>43554</v>
      </c>
      <c r="C16" s="7" t="s">
        <v>20</v>
      </c>
      <c r="D16" s="7" t="s">
        <v>147</v>
      </c>
      <c r="E16" s="8" t="s">
        <v>93</v>
      </c>
      <c r="F16" s="9" t="s">
        <v>108</v>
      </c>
      <c r="G16" s="7" t="str">
        <f t="shared" si="0"/>
        <v>Public notice 14 of 2019</v>
      </c>
    </row>
    <row r="17" spans="1:7" ht="45" x14ac:dyDescent="0.25">
      <c r="A17" s="5" t="s">
        <v>68</v>
      </c>
      <c r="B17" s="6">
        <v>43554</v>
      </c>
      <c r="C17" s="7" t="s">
        <v>20</v>
      </c>
      <c r="D17" s="7" t="s">
        <v>140</v>
      </c>
      <c r="E17" s="8" t="s">
        <v>93</v>
      </c>
      <c r="F17" s="9" t="s">
        <v>109</v>
      </c>
      <c r="G17" s="7" t="str">
        <f t="shared" si="0"/>
        <v>Public notice 25 of 2019</v>
      </c>
    </row>
    <row r="18" spans="1:7" ht="75" x14ac:dyDescent="0.25">
      <c r="A18" s="5" t="s">
        <v>76</v>
      </c>
      <c r="B18" s="6">
        <v>43554</v>
      </c>
      <c r="C18" s="7" t="s">
        <v>20</v>
      </c>
      <c r="D18" s="7" t="s">
        <v>148</v>
      </c>
      <c r="E18" s="8" t="s">
        <v>93</v>
      </c>
      <c r="F18" s="9" t="s">
        <v>110</v>
      </c>
      <c r="G18" s="7" t="str">
        <f t="shared" si="0"/>
        <v>Public notice 2 of 2019</v>
      </c>
    </row>
    <row r="19" spans="1:7" ht="30" x14ac:dyDescent="0.25">
      <c r="A19" s="5" t="s">
        <v>62</v>
      </c>
      <c r="B19" s="6">
        <v>43554</v>
      </c>
      <c r="C19" s="7" t="s">
        <v>20</v>
      </c>
      <c r="D19" s="7" t="s">
        <v>134</v>
      </c>
      <c r="E19" s="8" t="s">
        <v>93</v>
      </c>
      <c r="F19" s="9" t="s">
        <v>111</v>
      </c>
      <c r="G19" s="7" t="str">
        <f t="shared" si="0"/>
        <v>Public notice 999 of 2099</v>
      </c>
    </row>
    <row r="20" spans="1:7" ht="45" x14ac:dyDescent="0.25">
      <c r="A20" s="5" t="s">
        <v>77</v>
      </c>
      <c r="B20" s="6">
        <v>43554</v>
      </c>
      <c r="C20" s="7" t="s">
        <v>20</v>
      </c>
      <c r="D20" s="7" t="s">
        <v>149</v>
      </c>
      <c r="E20" s="8" t="s">
        <v>93</v>
      </c>
      <c r="F20" s="9" t="s">
        <v>112</v>
      </c>
      <c r="G20" s="7" t="str">
        <f t="shared" si="0"/>
        <v>Public notice 26 of 2019</v>
      </c>
    </row>
    <row r="21" spans="1:7" ht="45" x14ac:dyDescent="0.25">
      <c r="A21" s="5" t="s">
        <v>78</v>
      </c>
      <c r="B21" s="6">
        <v>43554</v>
      </c>
      <c r="C21" s="7" t="s">
        <v>20</v>
      </c>
      <c r="D21" s="7" t="s">
        <v>150</v>
      </c>
      <c r="E21" s="8" t="s">
        <v>93</v>
      </c>
      <c r="F21" s="9" t="s">
        <v>113</v>
      </c>
      <c r="G21" s="7" t="str">
        <f t="shared" si="0"/>
        <v>Public notice 8 of 2019</v>
      </c>
    </row>
    <row r="22" spans="1:7" ht="60" x14ac:dyDescent="0.25">
      <c r="A22" s="5" t="s">
        <v>79</v>
      </c>
      <c r="B22" s="6">
        <v>43554</v>
      </c>
      <c r="C22" s="7" t="s">
        <v>20</v>
      </c>
      <c r="D22" s="7" t="s">
        <v>151</v>
      </c>
      <c r="E22" s="8" t="s">
        <v>93</v>
      </c>
      <c r="F22" s="9" t="s">
        <v>114</v>
      </c>
      <c r="G22" s="7" t="str">
        <f t="shared" si="0"/>
        <v>Public notice 24 of 2019</v>
      </c>
    </row>
    <row r="23" spans="1:7" ht="60" x14ac:dyDescent="0.25">
      <c r="A23" s="5" t="s">
        <v>80</v>
      </c>
      <c r="B23" s="6">
        <v>43554</v>
      </c>
      <c r="C23" s="7" t="s">
        <v>20</v>
      </c>
      <c r="D23" s="7" t="s">
        <v>152</v>
      </c>
      <c r="E23" s="8" t="s">
        <v>93</v>
      </c>
      <c r="F23" s="9" t="s">
        <v>115</v>
      </c>
      <c r="G23" s="7" t="str">
        <f t="shared" si="0"/>
        <v>Public notice 4 of 2019</v>
      </c>
    </row>
    <row r="24" spans="1:7" ht="45" x14ac:dyDescent="0.25">
      <c r="A24" s="5" t="s">
        <v>81</v>
      </c>
      <c r="B24" s="6">
        <v>43554</v>
      </c>
      <c r="C24" s="7" t="s">
        <v>20</v>
      </c>
      <c r="D24" s="7" t="s">
        <v>153</v>
      </c>
      <c r="E24" s="8" t="s">
        <v>93</v>
      </c>
      <c r="F24" s="9" t="s">
        <v>116</v>
      </c>
      <c r="G24" s="7" t="str">
        <f t="shared" si="0"/>
        <v>Public notice 15 of 2019</v>
      </c>
    </row>
    <row r="25" spans="1:7" ht="45" x14ac:dyDescent="0.25">
      <c r="A25" s="5" t="s">
        <v>75</v>
      </c>
      <c r="B25" s="6">
        <v>43554</v>
      </c>
      <c r="C25" s="7" t="s">
        <v>20</v>
      </c>
      <c r="D25" s="7" t="s">
        <v>147</v>
      </c>
      <c r="E25" s="8" t="s">
        <v>93</v>
      </c>
      <c r="F25" s="9" t="s">
        <v>117</v>
      </c>
      <c r="G25" s="7" t="str">
        <f t="shared" si="0"/>
        <v>Public notice 14 of 2019</v>
      </c>
    </row>
    <row r="26" spans="1:7" ht="60" x14ac:dyDescent="0.25">
      <c r="A26" s="5" t="s">
        <v>82</v>
      </c>
      <c r="B26" s="6">
        <v>43554</v>
      </c>
      <c r="C26" s="7" t="s">
        <v>20</v>
      </c>
      <c r="D26" s="7" t="s">
        <v>154</v>
      </c>
      <c r="E26" s="8" t="s">
        <v>93</v>
      </c>
      <c r="F26" s="9" t="s">
        <v>118</v>
      </c>
      <c r="G26" s="7" t="str">
        <f t="shared" si="0"/>
        <v>Public notice 6 of 2019</v>
      </c>
    </row>
    <row r="27" spans="1:7" ht="75" x14ac:dyDescent="0.25">
      <c r="A27" s="5" t="s">
        <v>83</v>
      </c>
      <c r="B27" s="6">
        <v>43554</v>
      </c>
      <c r="C27" s="7" t="s">
        <v>20</v>
      </c>
      <c r="D27" s="7" t="s">
        <v>155</v>
      </c>
      <c r="E27" s="8" t="s">
        <v>93</v>
      </c>
      <c r="F27" s="9" t="s">
        <v>119</v>
      </c>
      <c r="G27" s="7" t="str">
        <f t="shared" si="0"/>
        <v>Public notice 31 of 2019</v>
      </c>
    </row>
    <row r="28" spans="1:7" ht="30" x14ac:dyDescent="0.25">
      <c r="A28" s="5" t="s">
        <v>72</v>
      </c>
      <c r="B28" s="6">
        <v>43554</v>
      </c>
      <c r="C28" s="7" t="s">
        <v>20</v>
      </c>
      <c r="D28" s="7" t="s">
        <v>144</v>
      </c>
      <c r="E28" s="8" t="s">
        <v>93</v>
      </c>
      <c r="F28" s="9" t="s">
        <v>120</v>
      </c>
      <c r="G28" s="7" t="str">
        <f t="shared" si="0"/>
        <v>Public notice 1 of 2019</v>
      </c>
    </row>
    <row r="29" spans="1:7" ht="60" x14ac:dyDescent="0.25">
      <c r="A29" s="5" t="s">
        <v>78</v>
      </c>
      <c r="B29" s="6">
        <v>43554</v>
      </c>
      <c r="C29" s="7" t="s">
        <v>20</v>
      </c>
      <c r="D29" s="7" t="s">
        <v>150</v>
      </c>
      <c r="E29" s="8" t="s">
        <v>93</v>
      </c>
      <c r="F29" s="9" t="s">
        <v>121</v>
      </c>
      <c r="G29" s="7" t="str">
        <f t="shared" si="0"/>
        <v>Public notice 8 of 2019</v>
      </c>
    </row>
    <row r="30" spans="1:7" ht="45" x14ac:dyDescent="0.25">
      <c r="A30" s="5" t="s">
        <v>84</v>
      </c>
      <c r="B30" s="6">
        <v>43554</v>
      </c>
      <c r="C30" s="7" t="s">
        <v>20</v>
      </c>
      <c r="D30" s="7" t="s">
        <v>156</v>
      </c>
      <c r="E30" s="8" t="s">
        <v>93</v>
      </c>
      <c r="F30" s="9" t="s">
        <v>122</v>
      </c>
      <c r="G30" s="7" t="str">
        <f t="shared" si="0"/>
        <v>Public notice 28 of 2019</v>
      </c>
    </row>
    <row r="31" spans="1:7" ht="45" x14ac:dyDescent="0.25">
      <c r="A31" s="5" t="s">
        <v>85</v>
      </c>
      <c r="B31" s="6">
        <v>43554</v>
      </c>
      <c r="C31" s="7" t="s">
        <v>20</v>
      </c>
      <c r="D31" s="7" t="s">
        <v>157</v>
      </c>
      <c r="E31" s="8" t="s">
        <v>93</v>
      </c>
      <c r="F31" s="9" t="s">
        <v>123</v>
      </c>
      <c r="G31" s="7" t="str">
        <f t="shared" si="0"/>
        <v>Public notice 3 of 2019</v>
      </c>
    </row>
    <row r="32" spans="1:7" ht="30" x14ac:dyDescent="0.25">
      <c r="A32" s="5" t="s">
        <v>86</v>
      </c>
      <c r="B32" s="6">
        <v>43554</v>
      </c>
      <c r="C32" s="7" t="s">
        <v>20</v>
      </c>
      <c r="D32" s="7" t="s">
        <v>158</v>
      </c>
      <c r="E32" s="8" t="s">
        <v>93</v>
      </c>
      <c r="F32" s="9" t="s">
        <v>124</v>
      </c>
      <c r="G32" s="7" t="str">
        <f t="shared" si="0"/>
        <v>Public notice 17 of 2019</v>
      </c>
    </row>
    <row r="33" spans="1:7" ht="45" x14ac:dyDescent="0.25">
      <c r="A33" s="5" t="s">
        <v>87</v>
      </c>
      <c r="B33" s="6">
        <v>43554</v>
      </c>
      <c r="C33" s="7" t="s">
        <v>20</v>
      </c>
      <c r="D33" s="7" t="s">
        <v>159</v>
      </c>
      <c r="E33" s="8" t="s">
        <v>93</v>
      </c>
      <c r="F33" s="9" t="s">
        <v>125</v>
      </c>
      <c r="G33" s="7" t="str">
        <f t="shared" si="0"/>
        <v>Public notice 18 of 2019</v>
      </c>
    </row>
    <row r="34" spans="1:7" ht="30" x14ac:dyDescent="0.25">
      <c r="A34" s="5" t="s">
        <v>68</v>
      </c>
      <c r="B34" s="6">
        <v>43554</v>
      </c>
      <c r="C34" s="7" t="s">
        <v>20</v>
      </c>
      <c r="D34" s="7" t="s">
        <v>140</v>
      </c>
      <c r="E34" s="8" t="s">
        <v>93</v>
      </c>
      <c r="F34" s="9" t="s">
        <v>126</v>
      </c>
      <c r="G34" s="7" t="str">
        <f t="shared" si="0"/>
        <v>Public notice 25 of 2019</v>
      </c>
    </row>
    <row r="35" spans="1:7" ht="60" x14ac:dyDescent="0.25">
      <c r="A35" s="5" t="s">
        <v>88</v>
      </c>
      <c r="B35" s="6">
        <v>43554</v>
      </c>
      <c r="C35" s="7" t="s">
        <v>20</v>
      </c>
      <c r="D35" s="7" t="s">
        <v>160</v>
      </c>
      <c r="E35" s="8" t="s">
        <v>93</v>
      </c>
      <c r="F35" s="9" t="s">
        <v>127</v>
      </c>
      <c r="G35" s="7" t="str">
        <f t="shared" si="0"/>
        <v>Public notice 27 of 2019</v>
      </c>
    </row>
    <row r="36" spans="1:7" ht="45" x14ac:dyDescent="0.25">
      <c r="A36" s="5" t="s">
        <v>78</v>
      </c>
      <c r="B36" s="6">
        <v>43554</v>
      </c>
      <c r="C36" s="7" t="s">
        <v>20</v>
      </c>
      <c r="D36" s="7" t="s">
        <v>150</v>
      </c>
      <c r="E36" s="8" t="s">
        <v>93</v>
      </c>
      <c r="F36" s="9" t="s">
        <v>128</v>
      </c>
      <c r="G36" s="7" t="str">
        <f t="shared" si="0"/>
        <v>Public notice 8 of 2019</v>
      </c>
    </row>
    <row r="37" spans="1:7" ht="45" x14ac:dyDescent="0.25">
      <c r="A37" s="5" t="s">
        <v>77</v>
      </c>
      <c r="B37" s="6">
        <v>43554</v>
      </c>
      <c r="C37" s="7" t="s">
        <v>20</v>
      </c>
      <c r="D37" s="7" t="s">
        <v>149</v>
      </c>
      <c r="E37" s="8" t="s">
        <v>93</v>
      </c>
      <c r="F37" s="9" t="s">
        <v>129</v>
      </c>
      <c r="G37" s="7" t="str">
        <f t="shared" si="0"/>
        <v>Public notice 26 of 2019</v>
      </c>
    </row>
    <row r="38" spans="1:7" ht="60" x14ac:dyDescent="0.25">
      <c r="A38" s="5" t="s">
        <v>89</v>
      </c>
      <c r="B38" s="6">
        <v>43554</v>
      </c>
      <c r="C38" s="7" t="s">
        <v>20</v>
      </c>
      <c r="D38" s="7" t="s">
        <v>161</v>
      </c>
      <c r="E38" s="8" t="s">
        <v>93</v>
      </c>
      <c r="F38" s="9" t="s">
        <v>130</v>
      </c>
      <c r="G38" s="7" t="str">
        <f t="shared" si="0"/>
        <v>Public notice 21 of 2019</v>
      </c>
    </row>
    <row r="39" spans="1:7" ht="45" x14ac:dyDescent="0.25">
      <c r="A39" s="5" t="s">
        <v>90</v>
      </c>
      <c r="B39" s="6">
        <v>43554</v>
      </c>
      <c r="C39" s="7" t="s">
        <v>20</v>
      </c>
      <c r="D39" s="7" t="s">
        <v>162</v>
      </c>
      <c r="E39" s="8" t="s">
        <v>93</v>
      </c>
      <c r="F39" s="9" t="s">
        <v>131</v>
      </c>
      <c r="G39" s="7" t="str">
        <f t="shared" si="0"/>
        <v>Public notice 7 of 2019</v>
      </c>
    </row>
    <row r="40" spans="1:7" ht="45" x14ac:dyDescent="0.25">
      <c r="A40" s="5" t="s">
        <v>91</v>
      </c>
      <c r="B40" s="6">
        <v>43554</v>
      </c>
      <c r="C40" s="7" t="s">
        <v>20</v>
      </c>
      <c r="D40" s="7" t="s">
        <v>163</v>
      </c>
      <c r="E40" s="8" t="s">
        <v>93</v>
      </c>
      <c r="F40" s="9" t="s">
        <v>132</v>
      </c>
      <c r="G40" s="7" t="str">
        <f t="shared" si="0"/>
        <v>Public notice 16 of 2019</v>
      </c>
    </row>
    <row r="41" spans="1:7" ht="45" x14ac:dyDescent="0.25">
      <c r="A41" s="5" t="s">
        <v>92</v>
      </c>
      <c r="B41" s="6">
        <v>43554</v>
      </c>
      <c r="C41" s="7" t="s">
        <v>20</v>
      </c>
      <c r="D41" s="7" t="s">
        <v>164</v>
      </c>
      <c r="E41" s="8" t="s">
        <v>93</v>
      </c>
      <c r="F41" s="9" t="s">
        <v>133</v>
      </c>
      <c r="G41" s="7" t="str">
        <f t="shared" si="0"/>
        <v>Public notice 10 of 2019</v>
      </c>
    </row>
    <row r="42" spans="1:7" ht="45" x14ac:dyDescent="0.25">
      <c r="A42" s="5" t="s">
        <v>75</v>
      </c>
      <c r="B42" s="6">
        <v>43554</v>
      </c>
      <c r="C42" s="7" t="s">
        <v>20</v>
      </c>
      <c r="D42" s="7" t="s">
        <v>147</v>
      </c>
      <c r="E42" s="8" t="s">
        <v>93</v>
      </c>
      <c r="F42" s="9" t="s">
        <v>117</v>
      </c>
      <c r="G42" s="7" t="str">
        <f t="shared" si="0"/>
        <v>Public notice 14 of 2019</v>
      </c>
    </row>
  </sheetData>
  <dataValidations count="1">
    <dataValidation type="list" allowBlank="1" showInputMessage="1" showErrorMessage="1" sqref="C2:C1048576" xr:uid="{2DDE8B77-5BF0-4B48-BC33-1A5CC67B894C}">
      <formula1>regulation_group_ids</formula1>
    </dataValidation>
  </dataValidations>
  <hyperlinks>
    <hyperlink ref="E2" r:id="rId1" xr:uid="{82FC6C34-6364-4604-954C-020037BAAB8E}"/>
    <hyperlink ref="E3:E42" r:id="rId2" display="www.test.com" xr:uid="{BD470272-DB9C-4EB2-AEDB-50D1FE8D9FE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C9E0A-C07E-4563-B567-C9113EC1DAFC}">
  <sheetPr codeName="Sheet3"/>
  <dimension ref="A1:G1"/>
  <sheetViews>
    <sheetView workbookViewId="0">
      <pane ySplit="1" topLeftCell="A2" activePane="bottomLeft" state="frozen"/>
      <selection pane="bottomLeft" activeCell="A2" sqref="A2:XFD42"/>
    </sheetView>
  </sheetViews>
  <sheetFormatPr defaultRowHeight="15" x14ac:dyDescent="0.25"/>
  <cols>
    <col min="1" max="1" width="21.140625" style="5" bestFit="1" customWidth="1"/>
    <col min="2" max="2" width="21.42578125" style="5" bestFit="1" customWidth="1"/>
    <col min="3" max="3" width="23.42578125" style="7" bestFit="1" customWidth="1"/>
    <col min="4" max="4" width="24" style="7" bestFit="1" customWidth="1"/>
    <col min="5" max="5" width="23" style="7" bestFit="1" customWidth="1"/>
    <col min="6" max="6" width="86.85546875" style="5" customWidth="1"/>
    <col min="7" max="7" width="25.7109375" style="7" customWidth="1"/>
    <col min="8" max="16384" width="9.140625" style="1"/>
  </cols>
  <sheetData>
    <row r="1" spans="1:7" ht="30" x14ac:dyDescent="0.25">
      <c r="A1" s="3" t="s">
        <v>59</v>
      </c>
      <c r="B1" s="3" t="s">
        <v>58</v>
      </c>
      <c r="C1" s="4" t="s">
        <v>0</v>
      </c>
      <c r="D1" s="4" t="s">
        <v>61</v>
      </c>
      <c r="E1" s="4" t="s">
        <v>60</v>
      </c>
      <c r="F1" s="3" t="s">
        <v>1</v>
      </c>
      <c r="G1" s="4" t="s">
        <v>165</v>
      </c>
    </row>
  </sheetData>
  <dataValidations count="1">
    <dataValidation type="list" allowBlank="1" showInputMessage="1" showErrorMessage="1" sqref="C2:C1048576" xr:uid="{7336D33E-73B3-4A39-9EBE-94DD95B1ECC2}">
      <formula1>regulation_group_ids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8373A-A35C-4431-8DDC-3DBF2D122AFB}">
  <sheetPr codeName="Sheet2"/>
  <dimension ref="A1:B28"/>
  <sheetViews>
    <sheetView workbookViewId="0">
      <pane ySplit="1" topLeftCell="A2" activePane="bottomLeft" state="frozen"/>
      <selection pane="bottomLeft" activeCell="A14" sqref="A14"/>
    </sheetView>
  </sheetViews>
  <sheetFormatPr defaultRowHeight="15" x14ac:dyDescent="0.25"/>
  <cols>
    <col min="1" max="1" width="11" customWidth="1"/>
    <col min="2" max="2" width="45.5703125" bestFit="1" customWidth="1"/>
  </cols>
  <sheetData>
    <row r="1" spans="1:2" x14ac:dyDescent="0.25">
      <c r="A1" s="2" t="s">
        <v>56</v>
      </c>
      <c r="B1" s="2" t="s">
        <v>57</v>
      </c>
    </row>
    <row r="2" spans="1:2" x14ac:dyDescent="0.25">
      <c r="A2" t="s">
        <v>2</v>
      </c>
      <c r="B2" t="s">
        <v>3</v>
      </c>
    </row>
    <row r="3" spans="1:2" x14ac:dyDescent="0.25">
      <c r="A3" t="s">
        <v>4</v>
      </c>
      <c r="B3" t="s">
        <v>5</v>
      </c>
    </row>
    <row r="4" spans="1:2" x14ac:dyDescent="0.25">
      <c r="A4" t="s">
        <v>6</v>
      </c>
      <c r="B4" t="s">
        <v>7</v>
      </c>
    </row>
    <row r="5" spans="1:2" x14ac:dyDescent="0.25">
      <c r="A5" t="s">
        <v>8</v>
      </c>
      <c r="B5" t="s">
        <v>9</v>
      </c>
    </row>
    <row r="6" spans="1:2" x14ac:dyDescent="0.25">
      <c r="A6" t="s">
        <v>10</v>
      </c>
      <c r="B6" t="s">
        <v>11</v>
      </c>
    </row>
    <row r="7" spans="1:2" x14ac:dyDescent="0.25">
      <c r="A7" t="s">
        <v>12</v>
      </c>
      <c r="B7" t="s">
        <v>13</v>
      </c>
    </row>
    <row r="8" spans="1:2" x14ac:dyDescent="0.25">
      <c r="A8" t="s">
        <v>14</v>
      </c>
      <c r="B8" t="s">
        <v>15</v>
      </c>
    </row>
    <row r="9" spans="1:2" x14ac:dyDescent="0.25">
      <c r="A9" t="s">
        <v>16</v>
      </c>
      <c r="B9" t="s">
        <v>17</v>
      </c>
    </row>
    <row r="10" spans="1:2" x14ac:dyDescent="0.25">
      <c r="A10" t="s">
        <v>18</v>
      </c>
      <c r="B10" t="s">
        <v>19</v>
      </c>
    </row>
    <row r="11" spans="1:2" x14ac:dyDescent="0.25">
      <c r="A11" t="s">
        <v>20</v>
      </c>
      <c r="B11" t="s">
        <v>21</v>
      </c>
    </row>
    <row r="12" spans="1:2" x14ac:dyDescent="0.25">
      <c r="A12" t="s">
        <v>22</v>
      </c>
      <c r="B12" t="s">
        <v>23</v>
      </c>
    </row>
    <row r="13" spans="1:2" x14ac:dyDescent="0.25">
      <c r="A13" t="s">
        <v>24</v>
      </c>
      <c r="B13" t="s">
        <v>25</v>
      </c>
    </row>
    <row r="14" spans="1:2" x14ac:dyDescent="0.25">
      <c r="A14" t="s">
        <v>26</v>
      </c>
      <c r="B14" t="s">
        <v>27</v>
      </c>
    </row>
    <row r="15" spans="1:2" x14ac:dyDescent="0.25">
      <c r="A15" t="s">
        <v>28</v>
      </c>
      <c r="B15" t="s">
        <v>29</v>
      </c>
    </row>
    <row r="16" spans="1:2" x14ac:dyDescent="0.25">
      <c r="A16" t="s">
        <v>30</v>
      </c>
      <c r="B16" t="s">
        <v>31</v>
      </c>
    </row>
    <row r="17" spans="1:2" x14ac:dyDescent="0.25">
      <c r="A17" t="s">
        <v>32</v>
      </c>
      <c r="B17" t="s">
        <v>33</v>
      </c>
    </row>
    <row r="18" spans="1:2" x14ac:dyDescent="0.25">
      <c r="A18" t="s">
        <v>34</v>
      </c>
      <c r="B18" t="s">
        <v>35</v>
      </c>
    </row>
    <row r="19" spans="1:2" x14ac:dyDescent="0.25">
      <c r="A19" t="s">
        <v>36</v>
      </c>
      <c r="B19" t="s">
        <v>37</v>
      </c>
    </row>
    <row r="20" spans="1:2" x14ac:dyDescent="0.25">
      <c r="A20" t="s">
        <v>38</v>
      </c>
      <c r="B20" t="s">
        <v>39</v>
      </c>
    </row>
    <row r="21" spans="1:2" x14ac:dyDescent="0.25">
      <c r="A21" t="s">
        <v>40</v>
      </c>
      <c r="B21" t="s">
        <v>41</v>
      </c>
    </row>
    <row r="22" spans="1:2" x14ac:dyDescent="0.25">
      <c r="A22" t="s">
        <v>42</v>
      </c>
      <c r="B22" t="s">
        <v>43</v>
      </c>
    </row>
    <row r="23" spans="1:2" x14ac:dyDescent="0.25">
      <c r="A23" t="s">
        <v>44</v>
      </c>
      <c r="B23" t="s">
        <v>45</v>
      </c>
    </row>
    <row r="24" spans="1:2" x14ac:dyDescent="0.25">
      <c r="A24" t="s">
        <v>46</v>
      </c>
      <c r="B24" t="s">
        <v>47</v>
      </c>
    </row>
    <row r="25" spans="1:2" x14ac:dyDescent="0.25">
      <c r="A25" t="s">
        <v>48</v>
      </c>
      <c r="B25" t="s">
        <v>49</v>
      </c>
    </row>
    <row r="26" spans="1:2" x14ac:dyDescent="0.25">
      <c r="A26" t="s">
        <v>50</v>
      </c>
      <c r="B26" t="s">
        <v>51</v>
      </c>
    </row>
    <row r="27" spans="1:2" x14ac:dyDescent="0.25">
      <c r="A27" t="s">
        <v>52</v>
      </c>
      <c r="B27" t="s">
        <v>53</v>
      </c>
    </row>
    <row r="28" spans="1:2" x14ac:dyDescent="0.25">
      <c r="A28" t="s">
        <v>54</v>
      </c>
      <c r="B28" t="s">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New</vt:lpstr>
      <vt:lpstr>Updated</vt:lpstr>
      <vt:lpstr>Regulation groups</vt:lpstr>
      <vt:lpstr>regulation_group_ids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Lavis</dc:creator>
  <cp:lastModifiedBy>Matt Lavis</cp:lastModifiedBy>
  <dcterms:created xsi:type="dcterms:W3CDTF">2018-11-29T17:01:36Z</dcterms:created>
  <dcterms:modified xsi:type="dcterms:W3CDTF">2019-01-02T22:35:48Z</dcterms:modified>
</cp:coreProperties>
</file>