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create_reference_data\source\"/>
    </mc:Choice>
  </mc:AlternateContent>
  <xr:revisionPtr revIDLastSave="0" documentId="13_ncr:1_{1AA865CB-C20A-4366-B099-273510BE801C}" xr6:coauthVersionLast="36" xr6:coauthVersionMax="36" xr10:uidLastSave="{00000000-0000-0000-0000-000000000000}"/>
  <bookViews>
    <workbookView xWindow="0" yWindow="0" windowWidth="16170" windowHeight="9555" xr2:uid="{B724F9FD-527C-4A95-969C-B8CCC70DC96A}"/>
  </bookViews>
  <sheets>
    <sheet name="New" sheetId="2" r:id="rId1"/>
    <sheet name="Updated" sheetId="4" r:id="rId2"/>
    <sheet name="Regulation groups" sheetId="3" r:id="rId3"/>
  </sheets>
  <functionGroups builtInGroupCount="19"/>
  <definedNames>
    <definedName name="regulation_group_ids">'Regulation groups'!$A$2:$A$28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44" i="2" l="1"/>
  <c r="L43" i="2"/>
  <c r="L42" i="2"/>
  <c r="M44" i="2"/>
  <c r="M43" i="2"/>
  <c r="M4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2" i="2"/>
  <c r="L2" i="2"/>
  <c r="L41" i="2"/>
  <c r="J41" i="2"/>
  <c r="H41" i="2"/>
  <c r="G41" i="2"/>
  <c r="L40" i="2"/>
  <c r="J40" i="2"/>
  <c r="H40" i="2"/>
  <c r="G40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3" i="2"/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2" i="2"/>
</calcChain>
</file>

<file path=xl/sharedStrings.xml><?xml version="1.0" encoding="utf-8"?>
<sst xmlns="http://schemas.openxmlformats.org/spreadsheetml/2006/main" count="355" uniqueCount="308">
  <si>
    <t>REGULATION_GROUP_ID</t>
  </si>
  <si>
    <t>INFORMATION_TEXT</t>
  </si>
  <si>
    <t>ACC</t>
  </si>
  <si>
    <t>Excises</t>
  </si>
  <si>
    <t>ADD</t>
  </si>
  <si>
    <t>Additional duties (AGRI)</t>
  </si>
  <si>
    <t>ADH</t>
  </si>
  <si>
    <t>Monetary and accession compensatory amounts</t>
  </si>
  <si>
    <t>AGR</t>
  </si>
  <si>
    <t>Agricultural amounts</t>
  </si>
  <si>
    <t>APL</t>
  </si>
  <si>
    <t>Applicable duty rates, other than from the CN</t>
  </si>
  <si>
    <t>CIT</t>
  </si>
  <si>
    <t>CITES</t>
  </si>
  <si>
    <t>CUN</t>
  </si>
  <si>
    <t>Customs Union</t>
  </si>
  <si>
    <t>DIV</t>
  </si>
  <si>
    <t>Various</t>
  </si>
  <si>
    <t>DNC</t>
  </si>
  <si>
    <t>Duties coming from the CN</t>
  </si>
  <si>
    <t>DUM</t>
  </si>
  <si>
    <t>Anti-dumping duties, countervailing duties</t>
  </si>
  <si>
    <t>EPF</t>
  </si>
  <si>
    <t>Provisional exclusion</t>
  </si>
  <si>
    <t>FTA</t>
  </si>
  <si>
    <t>Free Trade Agreement</t>
  </si>
  <si>
    <t>KON</t>
  </si>
  <si>
    <t>Non preferential tariff quotas</t>
  </si>
  <si>
    <t>MLA</t>
  </si>
  <si>
    <t>Entry into free circulation, Export authorization</t>
  </si>
  <si>
    <t>OPQ</t>
  </si>
  <si>
    <t>Outward processing tariff preference</t>
  </si>
  <si>
    <t>PRF</t>
  </si>
  <si>
    <t>Preferential duty</t>
  </si>
  <si>
    <t>PRS</t>
  </si>
  <si>
    <t>Prohibition</t>
  </si>
  <si>
    <t>RDR</t>
  </si>
  <si>
    <t>Reduced duty rates in the framework of the GATT</t>
  </si>
  <si>
    <t>REX</t>
  </si>
  <si>
    <t>Export refund (basic products)</t>
  </si>
  <si>
    <t>RIX</t>
  </si>
  <si>
    <t>Export refund (ingredients)</t>
  </si>
  <si>
    <t>SPG</t>
  </si>
  <si>
    <t>Generalized system of preferences</t>
  </si>
  <si>
    <t>SUR</t>
  </si>
  <si>
    <t>Posterior surveillance</t>
  </si>
  <si>
    <t>SUS</t>
  </si>
  <si>
    <t>Erga Omnes Suspensions</t>
  </si>
  <si>
    <t>TVA</t>
  </si>
  <si>
    <t>VAT</t>
  </si>
  <si>
    <t>TXC</t>
  </si>
  <si>
    <t>Countervailing charge</t>
  </si>
  <si>
    <t>UTS</t>
  </si>
  <si>
    <t>Supplementary unit</t>
  </si>
  <si>
    <t>VAU</t>
  </si>
  <si>
    <t>Unit price, standard import value</t>
  </si>
  <si>
    <t>ID</t>
  </si>
  <si>
    <t>Description</t>
  </si>
  <si>
    <t>VALIDITY_START_DATE</t>
  </si>
  <si>
    <t>BASE_REGULATION_ID</t>
  </si>
  <si>
    <t>URL</t>
  </si>
  <si>
    <t>LEGISLATION_ID</t>
  </si>
  <si>
    <t>FORMULA FOR USE IN LEGISLATION_ID COLUMN</t>
  </si>
  <si>
    <t>P1900010</t>
  </si>
  <si>
    <t>P1900020</t>
  </si>
  <si>
    <t>P1900030</t>
  </si>
  <si>
    <t>P1900040</t>
  </si>
  <si>
    <t>P1900050</t>
  </si>
  <si>
    <t>P1900060</t>
  </si>
  <si>
    <t>P1900070</t>
  </si>
  <si>
    <t>P1900080</t>
  </si>
  <si>
    <t>P1900090</t>
  </si>
  <si>
    <t>P1900100</t>
  </si>
  <si>
    <t>P1900110</t>
  </si>
  <si>
    <t>P1900120</t>
  </si>
  <si>
    <t>P1900130</t>
  </si>
  <si>
    <t>P1900140</t>
  </si>
  <si>
    <t>P1900150</t>
  </si>
  <si>
    <t>P1900160</t>
  </si>
  <si>
    <t>P1900170</t>
  </si>
  <si>
    <t>P1900180</t>
  </si>
  <si>
    <t>P1900190</t>
  </si>
  <si>
    <t>P1900200</t>
  </si>
  <si>
    <t>P1900210</t>
  </si>
  <si>
    <t>P1900220</t>
  </si>
  <si>
    <t>P1900230</t>
  </si>
  <si>
    <t>P1900240</t>
  </si>
  <si>
    <t>P1900250</t>
  </si>
  <si>
    <t>P1900260</t>
  </si>
  <si>
    <t>P1900270</t>
  </si>
  <si>
    <t>P1900280</t>
  </si>
  <si>
    <t>P1900290</t>
  </si>
  <si>
    <t>P1900300</t>
  </si>
  <si>
    <t>P1900310</t>
  </si>
  <si>
    <t>P1900320</t>
  </si>
  <si>
    <t>P1900330</t>
  </si>
  <si>
    <t>P1900340</t>
  </si>
  <si>
    <t>P1900350</t>
  </si>
  <si>
    <t>P1900360</t>
  </si>
  <si>
    <t>P1900370</t>
  </si>
  <si>
    <t>P1900380</t>
  </si>
  <si>
    <t>2019 No. 0001</t>
  </si>
  <si>
    <t>2019 No. 0002</t>
  </si>
  <si>
    <t>2019 No. 0003</t>
  </si>
  <si>
    <t>2019 No. 0004</t>
  </si>
  <si>
    <t>2019 No. 0005</t>
  </si>
  <si>
    <t>2019 No. 0006</t>
  </si>
  <si>
    <t>2019 No. 0007</t>
  </si>
  <si>
    <t>2019 No. 0008</t>
  </si>
  <si>
    <t>2019 No. 0009</t>
  </si>
  <si>
    <t>2019 No. 0010</t>
  </si>
  <si>
    <t>2019 No. 0011</t>
  </si>
  <si>
    <t>2019 No. 0012</t>
  </si>
  <si>
    <t>2019 No. 0013</t>
  </si>
  <si>
    <t>2019 No. 0014</t>
  </si>
  <si>
    <t>2019 No. 0015</t>
  </si>
  <si>
    <t>2019 No. 0016</t>
  </si>
  <si>
    <t>2019 No. 0017</t>
  </si>
  <si>
    <t>2019 No. 0018</t>
  </si>
  <si>
    <t>2019 No. 0019</t>
  </si>
  <si>
    <t>2019 No. 0020</t>
  </si>
  <si>
    <t>2019 No. 0021</t>
  </si>
  <si>
    <t>2019 No. 0022</t>
  </si>
  <si>
    <t>2019 No. 0023</t>
  </si>
  <si>
    <t>2019 No. 0024</t>
  </si>
  <si>
    <t>2019 No. 0025</t>
  </si>
  <si>
    <t>2019 No. 0026</t>
  </si>
  <si>
    <t>2019 No. 0027</t>
  </si>
  <si>
    <t>2019 No. 0028</t>
  </si>
  <si>
    <t>2019 No. 0029</t>
  </si>
  <si>
    <t>2019 No. 0030</t>
  </si>
  <si>
    <t>2019 No. 0031</t>
  </si>
  <si>
    <t>2019 No. 0032</t>
  </si>
  <si>
    <t>2019 No. 0033</t>
  </si>
  <si>
    <t>2019 No. 0034</t>
  </si>
  <si>
    <t>2019 No. 0035</t>
  </si>
  <si>
    <t>2019 No. 0036</t>
  </si>
  <si>
    <t>2019 No. 0037</t>
  </si>
  <si>
    <t>2019 No. 0038</t>
  </si>
  <si>
    <t>FORMULA FOR USE IN URL COLUMN</t>
  </si>
  <si>
    <t>Canada</t>
  </si>
  <si>
    <t>South Korea</t>
  </si>
  <si>
    <t>Switzerland</t>
  </si>
  <si>
    <t>CARIFORUM</t>
  </si>
  <si>
    <t>Chile</t>
  </si>
  <si>
    <t>Israel</t>
  </si>
  <si>
    <t>Palestine</t>
  </si>
  <si>
    <t>Singapore</t>
  </si>
  <si>
    <t>Central America</t>
  </si>
  <si>
    <t>Tunisia</t>
  </si>
  <si>
    <t>Jordan</t>
  </si>
  <si>
    <t>Kosovo</t>
  </si>
  <si>
    <t>Montenegro</t>
  </si>
  <si>
    <t>Macedonia</t>
  </si>
  <si>
    <t>Albania</t>
  </si>
  <si>
    <t>Faroe Islands</t>
  </si>
  <si>
    <t>Andean</t>
  </si>
  <si>
    <t>Morocco</t>
  </si>
  <si>
    <t>Lebanon</t>
  </si>
  <si>
    <t>Egypt</t>
  </si>
  <si>
    <t>Serbia</t>
  </si>
  <si>
    <t>Ukraine</t>
  </si>
  <si>
    <t>Georgia</t>
  </si>
  <si>
    <t>Mexico</t>
  </si>
  <si>
    <t>Turkey</t>
  </si>
  <si>
    <t>Japan</t>
  </si>
  <si>
    <t>Algeria</t>
  </si>
  <si>
    <t>Moldova</t>
  </si>
  <si>
    <t>Vietnam</t>
  </si>
  <si>
    <t>Bosnia</t>
  </si>
  <si>
    <t>COUNTRY</t>
  </si>
  <si>
    <t>Pacific countries</t>
  </si>
  <si>
    <t>Eastern and Southern Africa (ESA)</t>
  </si>
  <si>
    <t>Southern African Development Community (SADC)</t>
  </si>
  <si>
    <t>Ghana</t>
  </si>
  <si>
    <t>Cote d’Ivoire</t>
  </si>
  <si>
    <t>Cameroon</t>
  </si>
  <si>
    <t>East African Community (EAC)</t>
  </si>
  <si>
    <t>European Economic Area (EEA)</t>
  </si>
  <si>
    <t>http://www.legislation.gov.uk/uksi/2019/0001/contents/made</t>
  </si>
  <si>
    <t>http://www.legislation.gov.uk/uksi/2019/0002/contents/made</t>
  </si>
  <si>
    <t>http://www.legislation.gov.uk/uksi/2019/0003/contents/made</t>
  </si>
  <si>
    <t>http://www.legislation.gov.uk/uksi/2019/0004/contents/made</t>
  </si>
  <si>
    <t>http://www.legislation.gov.uk/uksi/2019/0005/contents/made</t>
  </si>
  <si>
    <t>http://www.legislation.gov.uk/uksi/2019/0006/contents/made</t>
  </si>
  <si>
    <t>http://www.legislation.gov.uk/uksi/2019/0007/contents/made</t>
  </si>
  <si>
    <t>http://www.legislation.gov.uk/uksi/2019/0008/contents/made</t>
  </si>
  <si>
    <t>http://www.legislation.gov.uk/uksi/2019/0009/contents/made</t>
  </si>
  <si>
    <t>http://www.legislation.gov.uk/uksi/2019/0010/contents/made</t>
  </si>
  <si>
    <t>http://www.legislation.gov.uk/uksi/2019/0011/contents/made</t>
  </si>
  <si>
    <t>http://www.legislation.gov.uk/uksi/2019/0012/contents/made</t>
  </si>
  <si>
    <t>http://www.legislation.gov.uk/uksi/2019/0013/contents/made</t>
  </si>
  <si>
    <t>http://www.legislation.gov.uk/uksi/2019/0014/contents/made</t>
  </si>
  <si>
    <t>http://www.legislation.gov.uk/uksi/2019/0015/contents/made</t>
  </si>
  <si>
    <t>http://www.legislation.gov.uk/uksi/2019/0016/contents/made</t>
  </si>
  <si>
    <t>http://www.legislation.gov.uk/uksi/2019/0017/contents/made</t>
  </si>
  <si>
    <t>http://www.legislation.gov.uk/uksi/2019/0018/contents/made</t>
  </si>
  <si>
    <t>http://www.legislation.gov.uk/uksi/2019/0019/contents/made</t>
  </si>
  <si>
    <t>http://www.legislation.gov.uk/uksi/2019/0020/contents/made</t>
  </si>
  <si>
    <t>http://www.legislation.gov.uk/uksi/2019/0021/contents/made</t>
  </si>
  <si>
    <t>http://www.legislation.gov.uk/uksi/2019/0022/contents/made</t>
  </si>
  <si>
    <t>http://www.legislation.gov.uk/uksi/2019/0023/contents/made</t>
  </si>
  <si>
    <t>http://www.legislation.gov.uk/uksi/2019/0024/contents/made</t>
  </si>
  <si>
    <t>http://www.legislation.gov.uk/uksi/2019/0025/contents/made</t>
  </si>
  <si>
    <t>http://www.legislation.gov.uk/uksi/2019/0026/contents/made</t>
  </si>
  <si>
    <t>http://www.legislation.gov.uk/uksi/2019/0027/contents/made</t>
  </si>
  <si>
    <t>http://www.legislation.gov.uk/uksi/2019/0028/contents/made</t>
  </si>
  <si>
    <t>http://www.legislation.gov.uk/uksi/2019/0029/contents/made</t>
  </si>
  <si>
    <t>http://www.legislation.gov.uk/uksi/2019/0030/contents/made</t>
  </si>
  <si>
    <t>http://www.legislation.gov.uk/uksi/2019/0031/contents/made</t>
  </si>
  <si>
    <t>http://www.legislation.gov.uk/uksi/2019/0032/contents/made</t>
  </si>
  <si>
    <t>http://www.legislation.gov.uk/uksi/2019/0033/contents/made</t>
  </si>
  <si>
    <t>http://www.legislation.gov.uk/uksi/2019/0034/contents/made</t>
  </si>
  <si>
    <t>http://www.legislation.gov.uk/uksi/2019/0035/contents/made</t>
  </si>
  <si>
    <t>http://www.legislation.gov.uk/uksi/2019/0036/contents/made</t>
  </si>
  <si>
    <t>http://www.legislation.gov.uk/uksi/2019/0037/contents/made</t>
  </si>
  <si>
    <t>http://www.legislation.gov.uk/uksi/2019/0038/contents/made</t>
  </si>
  <si>
    <t>INFO TEXT FORMULA</t>
  </si>
  <si>
    <t>UK / Canada Free Trade Agreement</t>
  </si>
  <si>
    <t>UK / South Korea Free Trade Agreement</t>
  </si>
  <si>
    <t>UK / Switzerland Free Trade Agreement</t>
  </si>
  <si>
    <t>UK / Southern African Development Community (SADC) Free Trade Agreement</t>
  </si>
  <si>
    <t>UK / CARIFORUM Free Trade Agreement</t>
  </si>
  <si>
    <t>UK / Eastern and Southern Africa (ESA) Free Trade Agreement</t>
  </si>
  <si>
    <t>UK / Ghana Free Trade Agreement</t>
  </si>
  <si>
    <t>UK / Pacific countries Free Trade Agreement</t>
  </si>
  <si>
    <t>UK / Chile Free Trade Agreement</t>
  </si>
  <si>
    <t>UK / Israel Free Trade Agreement</t>
  </si>
  <si>
    <t>UK / Palestine Free Trade Agreement</t>
  </si>
  <si>
    <t>UK / Singapore Free Trade Agreement</t>
  </si>
  <si>
    <t>UK / Central America Free Trade Agreement</t>
  </si>
  <si>
    <t>UK / Tunisia Free Trade Agreement</t>
  </si>
  <si>
    <t>UK / Jordan Free Trade Agreement</t>
  </si>
  <si>
    <t>UK / Kosovo Free Trade Agreement</t>
  </si>
  <si>
    <t>UK / Montenegro Free Trade Agreement</t>
  </si>
  <si>
    <t>UK / Macedonia Free Trade Agreement</t>
  </si>
  <si>
    <t>UK / Albania Free Trade Agreement</t>
  </si>
  <si>
    <t>UK / Cote d’Ivoire Free Trade Agreement</t>
  </si>
  <si>
    <t>UK / Cameroon Free Trade Agreement</t>
  </si>
  <si>
    <t>UK / Faroe Islands Free Trade Agreement</t>
  </si>
  <si>
    <t>UK / Andean Free Trade Agreement</t>
  </si>
  <si>
    <t>UK / East African Community (EAC) Free Trade Agreement</t>
  </si>
  <si>
    <t>UK / Morocco Free Trade Agreement</t>
  </si>
  <si>
    <t>UK / Lebanon Free Trade Agreement</t>
  </si>
  <si>
    <t>UK / Egypt Free Trade Agreement</t>
  </si>
  <si>
    <t>UK / Serbia Free Trade Agreement</t>
  </si>
  <si>
    <t>UK / Ukraine Free Trade Agreement</t>
  </si>
  <si>
    <t>UK / Georgia Free Trade Agreement</t>
  </si>
  <si>
    <t>UK / Mexico Free Trade Agreement</t>
  </si>
  <si>
    <t>UK / European Economic Area (EEA) Free Trade Agreement</t>
  </si>
  <si>
    <t>UK / Turkey Free Trade Agreement</t>
  </si>
  <si>
    <t>UK / Japan Free Trade Agreement</t>
  </si>
  <si>
    <t>UK / Algeria Free Trade Agreement</t>
  </si>
  <si>
    <t>UK / Moldova Free Trade Agreement</t>
  </si>
  <si>
    <t>UK / Vietnam Free Trade Agreement</t>
  </si>
  <si>
    <t>UK / Bosnia Free Trade Agreement</t>
  </si>
  <si>
    <t>INFORMATION TEXT</t>
  </si>
  <si>
    <t>Locale</t>
  </si>
  <si>
    <t>canada</t>
  </si>
  <si>
    <t>switzerland</t>
  </si>
  <si>
    <t>southkorea</t>
  </si>
  <si>
    <t>sadc</t>
  </si>
  <si>
    <t>cariforum</t>
  </si>
  <si>
    <t>esa</t>
  </si>
  <si>
    <t>ghana</t>
  </si>
  <si>
    <t>pacific</t>
  </si>
  <si>
    <t>chile</t>
  </si>
  <si>
    <t>israel</t>
  </si>
  <si>
    <t>palestine</t>
  </si>
  <si>
    <t>singapore</t>
  </si>
  <si>
    <t>centralamerica</t>
  </si>
  <si>
    <t>tunisia</t>
  </si>
  <si>
    <t>jordan</t>
  </si>
  <si>
    <t>kosovo</t>
  </si>
  <si>
    <t>montenegro</t>
  </si>
  <si>
    <t>macedonia</t>
  </si>
  <si>
    <t>cotedivoire</t>
  </si>
  <si>
    <t>albania</t>
  </si>
  <si>
    <t>cameroon</t>
  </si>
  <si>
    <t>faroeislands</t>
  </si>
  <si>
    <t>andean</t>
  </si>
  <si>
    <t>lebanon</t>
  </si>
  <si>
    <t>egypt</t>
  </si>
  <si>
    <t>serbia</t>
  </si>
  <si>
    <t>ukraine</t>
  </si>
  <si>
    <t>georgia</t>
  </si>
  <si>
    <t>mexico</t>
  </si>
  <si>
    <t>turkey</t>
  </si>
  <si>
    <t>algeria</t>
  </si>
  <si>
    <t>moldova</t>
  </si>
  <si>
    <t>vietnam</t>
  </si>
  <si>
    <t>bosnia</t>
  </si>
  <si>
    <t>ecuador</t>
  </si>
  <si>
    <t>P1900390</t>
  </si>
  <si>
    <t>2019 No. 0039</t>
  </si>
  <si>
    <t>http://www.legislation.gov.uk/uksi/2019/0039/contents/made</t>
  </si>
  <si>
    <t>UK / Iceland Free Trade Agreement</t>
  </si>
  <si>
    <t>Iceland</t>
  </si>
  <si>
    <t>iceland</t>
  </si>
  <si>
    <t>P1900400</t>
  </si>
  <si>
    <t>Norway</t>
  </si>
  <si>
    <t>norway</t>
  </si>
  <si>
    <t>http://www.legislation.gov.uk/uksi/2019/0040/contents/made</t>
  </si>
  <si>
    <t>UK / Norway Free Trade Agreement</t>
  </si>
  <si>
    <t>Python migration script</t>
  </si>
  <si>
    <t>Python import script</t>
  </si>
  <si>
    <t>colombia</t>
  </si>
  <si>
    <t>peru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</si>
</sst>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top"/>
    </xf>
    <xf numFmtId="0" fontId="1" fillId="2" borderId="0" xfId="0" applyFont="1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14" fontId="0" fillId="4" borderId="1" xfId="0" applyNumberForma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4BD5-F463-4A11-973E-8749F58C3A6F}">
  <sheetPr codeName="Sheet1"/>
  <dimension ref="A1:M44"/>
  <sheetViews>
    <sheetView tabSelected="1" topLeftCell="I1" workbookViewId="0">
      <pane ySplit="1" topLeftCell="A2" activePane="bottomLeft" state="frozen"/>
      <selection pane="bottomLeft" activeCell="L32" sqref="L3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58.140625" style="7" bestFit="1" customWidth="1"/>
    <col min="6" max="6" width="76.5703125" style="5" customWidth="1"/>
    <col min="7" max="7" width="25.7109375" style="8" customWidth="1"/>
    <col min="8" max="8" width="58.140625" style="8" bestFit="1" customWidth="1"/>
    <col min="9" max="9" width="47" style="8" bestFit="1" customWidth="1"/>
    <col min="10" max="10" width="72.28515625" style="8" bestFit="1" customWidth="1"/>
    <col min="11" max="11" width="37.7109375" style="8" customWidth="1"/>
    <col min="12" max="12" width="50.85546875" style="7" bestFit="1" customWidth="1"/>
    <col min="13" max="13" width="30.42578125" style="7" bestFit="1" customWidth="1"/>
    <col min="14" max="16384" width="9.140625" style="1"/>
  </cols>
  <sheetData>
    <row r="1" spans="1:13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256</v>
      </c>
      <c r="G1" s="3" t="s">
        <v>62</v>
      </c>
      <c r="H1" s="3" t="s">
        <v>139</v>
      </c>
      <c r="I1" s="3" t="s">
        <v>170</v>
      </c>
      <c r="J1" s="3" t="s">
        <v>217</v>
      </c>
      <c r="K1" s="3" t="s">
        <v>257</v>
      </c>
      <c r="L1" s="3" t="s">
        <v>304</v>
      </c>
      <c r="M1" s="3" t="s">
        <v>305</v>
      </c>
    </row>
    <row r="2" spans="1:13" x14ac:dyDescent="0.25">
      <c r="A2" s="7" t="s">
        <v>63</v>
      </c>
      <c r="B2" s="6">
        <v>43554</v>
      </c>
      <c r="C2" s="7" t="s">
        <v>24</v>
      </c>
      <c r="D2" s="5" t="s">
        <v>101</v>
      </c>
      <c r="E2" s="7" t="s">
        <v>179</v>
      </c>
      <c r="F2" s="5" t="s">
        <v>218</v>
      </c>
      <c r="G2" s="8" t="str">
        <f>CONCATENATE("2019 No. ", TEXT(ROW()-1, "0000"))</f>
        <v>2019 No. 0001</v>
      </c>
      <c r="H2" s="8" t="str">
        <f>CONCATENATE("http://www.legislation.gov.uk/uksi/2019/", TEXT(ROW()-1, "0000"), "/contents/made")</f>
        <v>http://www.legislation.gov.uk/uksi/2019/0001/contents/made</v>
      </c>
      <c r="I2" s="8" t="s">
        <v>140</v>
      </c>
      <c r="J2" s="8" t="str">
        <f>CONCATENATE("UK / ", I2, " Free Trade Agreement")</f>
        <v>UK / Canada Free Trade Agreement</v>
      </c>
      <c r="K2" s="8" t="s">
        <v>258</v>
      </c>
      <c r="L2" s="7" t="str">
        <f>CONCATENATE("py migrate_measures.py c r ", $K2, " ", $A2)</f>
        <v>py migrate_measures.py c r canada P1900010</v>
      </c>
      <c r="M2" s="7" t="str">
        <f>CONCATENATE("py import.py ", $K2, ".xml")</f>
        <v>py import.py canada.xml</v>
      </c>
    </row>
    <row r="3" spans="1:13" x14ac:dyDescent="0.25">
      <c r="A3" s="7" t="s">
        <v>64</v>
      </c>
      <c r="B3" s="6">
        <v>43554</v>
      </c>
      <c r="C3" s="7" t="s">
        <v>24</v>
      </c>
      <c r="D3" s="5" t="s">
        <v>102</v>
      </c>
      <c r="E3" s="7" t="s">
        <v>180</v>
      </c>
      <c r="F3" s="5" t="s">
        <v>219</v>
      </c>
      <c r="G3" s="8" t="str">
        <f t="shared" ref="G3:G41" si="0">CONCATENATE("2019 No. ", TEXT(ROW()-1, "0000"))</f>
        <v>2019 No. 0002</v>
      </c>
      <c r="H3" s="8" t="str">
        <f t="shared" ref="H3:H41" si="1">CONCATENATE("http://www.legislation.gov.uk/uksi/2019/", TEXT(ROW()-1, "0000"), "/contents/made")</f>
        <v>http://www.legislation.gov.uk/uksi/2019/0002/contents/made</v>
      </c>
      <c r="I3" s="8" t="s">
        <v>141</v>
      </c>
      <c r="J3" s="8" t="str">
        <f t="shared" ref="J3:J39" si="2">CONCATENATE("UK / ", I3, " Free Trade Agreement")</f>
        <v>UK / South Korea Free Trade Agreement</v>
      </c>
      <c r="K3" s="8" t="s">
        <v>260</v>
      </c>
      <c r="L3" s="7" t="str">
        <f>CONCATENATE("py migrate_measures.py c r ", K3, " ", A3)</f>
        <v>py migrate_measures.py c r southkorea P1900020</v>
      </c>
      <c r="M3" s="7" t="str">
        <f t="shared" ref="M3:M44" si="3">CONCATENATE("py import.py ", $K3, ".xml")</f>
        <v>py import.py southkorea.xml</v>
      </c>
    </row>
    <row r="4" spans="1:13" x14ac:dyDescent="0.25">
      <c r="A4" s="7" t="s">
        <v>65</v>
      </c>
      <c r="B4" s="6">
        <v>43554</v>
      </c>
      <c r="C4" s="7" t="s">
        <v>24</v>
      </c>
      <c r="D4" s="5" t="s">
        <v>103</v>
      </c>
      <c r="E4" s="7" t="s">
        <v>181</v>
      </c>
      <c r="F4" s="5" t="s">
        <v>220</v>
      </c>
      <c r="G4" s="8" t="str">
        <f t="shared" si="0"/>
        <v>2019 No. 0003</v>
      </c>
      <c r="H4" s="8" t="str">
        <f t="shared" si="1"/>
        <v>http://www.legislation.gov.uk/uksi/2019/0003/contents/made</v>
      </c>
      <c r="I4" s="8" t="s">
        <v>142</v>
      </c>
      <c r="J4" s="8" t="str">
        <f t="shared" si="2"/>
        <v>UK / Switzerland Free Trade Agreement</v>
      </c>
      <c r="K4" s="8" t="s">
        <v>259</v>
      </c>
      <c r="L4" s="7" t="str">
        <f t="shared" ref="L4:L39" si="4">CONCATENATE("py migrate_measures.py c r ", K4, " ", A4)</f>
        <v>py migrate_measures.py c r switzerland P1900030</v>
      </c>
      <c r="M4" s="7" t="str">
        <f t="shared" si="3"/>
        <v>py import.py switzerland.xml</v>
      </c>
    </row>
    <row r="5" spans="1:13" x14ac:dyDescent="0.25">
      <c r="A5" s="7" t="s">
        <v>66</v>
      </c>
      <c r="B5" s="6">
        <v>43554</v>
      </c>
      <c r="C5" s="7" t="s">
        <v>24</v>
      </c>
      <c r="D5" s="5" t="s">
        <v>104</v>
      </c>
      <c r="E5" s="7" t="s">
        <v>182</v>
      </c>
      <c r="F5" s="5" t="s">
        <v>221</v>
      </c>
      <c r="G5" s="8" t="str">
        <f t="shared" si="0"/>
        <v>2019 No. 0004</v>
      </c>
      <c r="H5" s="8" t="str">
        <f t="shared" si="1"/>
        <v>http://www.legislation.gov.uk/uksi/2019/0004/contents/made</v>
      </c>
      <c r="I5" s="8" t="s">
        <v>173</v>
      </c>
      <c r="J5" s="8" t="str">
        <f t="shared" si="2"/>
        <v>UK / Southern African Development Community (SADC) Free Trade Agreement</v>
      </c>
      <c r="K5" s="8" t="s">
        <v>261</v>
      </c>
      <c r="L5" s="7" t="str">
        <f t="shared" si="4"/>
        <v>py migrate_measures.py c r sadc P1900040</v>
      </c>
      <c r="M5" s="7" t="str">
        <f t="shared" si="3"/>
        <v>py import.py sadc.xml</v>
      </c>
    </row>
    <row r="6" spans="1:13" x14ac:dyDescent="0.25">
      <c r="A6" s="7" t="s">
        <v>67</v>
      </c>
      <c r="B6" s="6">
        <v>43554</v>
      </c>
      <c r="C6" s="7" t="s">
        <v>24</v>
      </c>
      <c r="D6" s="5" t="s">
        <v>105</v>
      </c>
      <c r="E6" s="7" t="s">
        <v>183</v>
      </c>
      <c r="F6" s="5" t="s">
        <v>222</v>
      </c>
      <c r="G6" s="8" t="str">
        <f t="shared" si="0"/>
        <v>2019 No. 0005</v>
      </c>
      <c r="H6" s="8" t="str">
        <f t="shared" si="1"/>
        <v>http://www.legislation.gov.uk/uksi/2019/0005/contents/made</v>
      </c>
      <c r="I6" s="8" t="s">
        <v>143</v>
      </c>
      <c r="J6" s="8" t="str">
        <f t="shared" si="2"/>
        <v>UK / CARIFORUM Free Trade Agreement</v>
      </c>
      <c r="K6" s="8" t="s">
        <v>262</v>
      </c>
      <c r="L6" s="7" t="str">
        <f t="shared" si="4"/>
        <v>py migrate_measures.py c r cariforum P1900050</v>
      </c>
      <c r="M6" s="7" t="str">
        <f t="shared" si="3"/>
        <v>py import.py cariforum.xml</v>
      </c>
    </row>
    <row r="7" spans="1:13" x14ac:dyDescent="0.25">
      <c r="A7" s="7" t="s">
        <v>68</v>
      </c>
      <c r="B7" s="6">
        <v>43554</v>
      </c>
      <c r="C7" s="7" t="s">
        <v>24</v>
      </c>
      <c r="D7" s="5" t="s">
        <v>106</v>
      </c>
      <c r="E7" s="7" t="s">
        <v>184</v>
      </c>
      <c r="F7" s="5" t="s">
        <v>223</v>
      </c>
      <c r="G7" s="8" t="str">
        <f t="shared" si="0"/>
        <v>2019 No. 0006</v>
      </c>
      <c r="H7" s="8" t="str">
        <f t="shared" si="1"/>
        <v>http://www.legislation.gov.uk/uksi/2019/0006/contents/made</v>
      </c>
      <c r="I7" s="8" t="s">
        <v>172</v>
      </c>
      <c r="J7" s="8" t="str">
        <f t="shared" si="2"/>
        <v>UK / Eastern and Southern Africa (ESA) Free Trade Agreement</v>
      </c>
      <c r="K7" s="8" t="s">
        <v>263</v>
      </c>
      <c r="L7" s="7" t="str">
        <f t="shared" si="4"/>
        <v>py migrate_measures.py c r esa P1900060</v>
      </c>
      <c r="M7" s="7" t="str">
        <f t="shared" si="3"/>
        <v>py import.py esa.xml</v>
      </c>
    </row>
    <row r="8" spans="1:13" x14ac:dyDescent="0.25">
      <c r="A8" s="7" t="s">
        <v>69</v>
      </c>
      <c r="B8" s="6">
        <v>43554</v>
      </c>
      <c r="C8" s="7" t="s">
        <v>24</v>
      </c>
      <c r="D8" s="5" t="s">
        <v>107</v>
      </c>
      <c r="E8" s="7" t="s">
        <v>185</v>
      </c>
      <c r="F8" s="5" t="s">
        <v>224</v>
      </c>
      <c r="G8" s="8" t="str">
        <f t="shared" si="0"/>
        <v>2019 No. 0007</v>
      </c>
      <c r="H8" s="8" t="str">
        <f t="shared" si="1"/>
        <v>http://www.legislation.gov.uk/uksi/2019/0007/contents/made</v>
      </c>
      <c r="I8" s="8" t="s">
        <v>174</v>
      </c>
      <c r="J8" s="8" t="str">
        <f t="shared" si="2"/>
        <v>UK / Ghana Free Trade Agreement</v>
      </c>
      <c r="K8" s="8" t="s">
        <v>264</v>
      </c>
      <c r="L8" s="7" t="str">
        <f t="shared" si="4"/>
        <v>py migrate_measures.py c r ghana P1900070</v>
      </c>
      <c r="M8" s="7" t="str">
        <f t="shared" si="3"/>
        <v>py import.py ghana.xml</v>
      </c>
    </row>
    <row r="9" spans="1:13" x14ac:dyDescent="0.25">
      <c r="A9" s="7" t="s">
        <v>70</v>
      </c>
      <c r="B9" s="6">
        <v>43554</v>
      </c>
      <c r="C9" s="7" t="s">
        <v>24</v>
      </c>
      <c r="D9" s="5" t="s">
        <v>108</v>
      </c>
      <c r="E9" s="7" t="s">
        <v>186</v>
      </c>
      <c r="F9" s="5" t="s">
        <v>225</v>
      </c>
      <c r="G9" s="8" t="str">
        <f t="shared" si="0"/>
        <v>2019 No. 0008</v>
      </c>
      <c r="H9" s="8" t="str">
        <f t="shared" si="1"/>
        <v>http://www.legislation.gov.uk/uksi/2019/0008/contents/made</v>
      </c>
      <c r="I9" s="8" t="s">
        <v>171</v>
      </c>
      <c r="J9" s="8" t="str">
        <f t="shared" si="2"/>
        <v>UK / Pacific countries Free Trade Agreement</v>
      </c>
      <c r="K9" s="8" t="s">
        <v>265</v>
      </c>
      <c r="L9" s="7" t="str">
        <f t="shared" si="4"/>
        <v>py migrate_measures.py c r pacific P1900080</v>
      </c>
      <c r="M9" s="7" t="str">
        <f t="shared" si="3"/>
        <v>py import.py pacific.xml</v>
      </c>
    </row>
    <row r="10" spans="1:13" x14ac:dyDescent="0.25">
      <c r="A10" s="7" t="s">
        <v>71</v>
      </c>
      <c r="B10" s="6">
        <v>43554</v>
      </c>
      <c r="C10" s="7" t="s">
        <v>24</v>
      </c>
      <c r="D10" s="5" t="s">
        <v>109</v>
      </c>
      <c r="E10" s="7" t="s">
        <v>187</v>
      </c>
      <c r="F10" s="5" t="s">
        <v>226</v>
      </c>
      <c r="G10" s="8" t="str">
        <f t="shared" si="0"/>
        <v>2019 No. 0009</v>
      </c>
      <c r="H10" s="8" t="str">
        <f t="shared" si="1"/>
        <v>http://www.legislation.gov.uk/uksi/2019/0009/contents/made</v>
      </c>
      <c r="I10" s="8" t="s">
        <v>144</v>
      </c>
      <c r="J10" s="8" t="str">
        <f t="shared" si="2"/>
        <v>UK / Chile Free Trade Agreement</v>
      </c>
      <c r="K10" s="8" t="s">
        <v>266</v>
      </c>
      <c r="L10" s="7" t="str">
        <f t="shared" si="4"/>
        <v>py migrate_measures.py c r chile P1900090</v>
      </c>
      <c r="M10" s="7" t="str">
        <f t="shared" si="3"/>
        <v>py import.py chile.xml</v>
      </c>
    </row>
    <row r="11" spans="1:13" x14ac:dyDescent="0.25">
      <c r="A11" s="7" t="s">
        <v>72</v>
      </c>
      <c r="B11" s="6">
        <v>43554</v>
      </c>
      <c r="C11" s="7" t="s">
        <v>24</v>
      </c>
      <c r="D11" s="5" t="s">
        <v>110</v>
      </c>
      <c r="E11" s="7" t="s">
        <v>188</v>
      </c>
      <c r="F11" s="5" t="s">
        <v>227</v>
      </c>
      <c r="G11" s="8" t="str">
        <f t="shared" si="0"/>
        <v>2019 No. 0010</v>
      </c>
      <c r="H11" s="8" t="str">
        <f t="shared" si="1"/>
        <v>http://www.legislation.gov.uk/uksi/2019/0010/contents/made</v>
      </c>
      <c r="I11" s="8" t="s">
        <v>145</v>
      </c>
      <c r="J11" s="8" t="str">
        <f t="shared" si="2"/>
        <v>UK / Israel Free Trade Agreement</v>
      </c>
      <c r="K11" s="8" t="s">
        <v>267</v>
      </c>
      <c r="L11" s="7" t="str">
        <f t="shared" si="4"/>
        <v>py migrate_measures.py c r israel P1900100</v>
      </c>
      <c r="M11" s="7" t="str">
        <f t="shared" si="3"/>
        <v>py import.py israel.xml</v>
      </c>
    </row>
    <row r="12" spans="1:13" x14ac:dyDescent="0.25">
      <c r="A12" s="7" t="s">
        <v>73</v>
      </c>
      <c r="B12" s="6">
        <v>43554</v>
      </c>
      <c r="C12" s="7" t="s">
        <v>24</v>
      </c>
      <c r="D12" s="5" t="s">
        <v>111</v>
      </c>
      <c r="E12" s="7" t="s">
        <v>189</v>
      </c>
      <c r="F12" s="5" t="s">
        <v>228</v>
      </c>
      <c r="G12" s="8" t="str">
        <f t="shared" si="0"/>
        <v>2019 No. 0011</v>
      </c>
      <c r="H12" s="8" t="str">
        <f t="shared" si="1"/>
        <v>http://www.legislation.gov.uk/uksi/2019/0011/contents/made</v>
      </c>
      <c r="I12" s="8" t="s">
        <v>146</v>
      </c>
      <c r="J12" s="8" t="str">
        <f t="shared" si="2"/>
        <v>UK / Palestine Free Trade Agreement</v>
      </c>
      <c r="K12" s="8" t="s">
        <v>268</v>
      </c>
      <c r="L12" s="7" t="str">
        <f t="shared" si="4"/>
        <v>py migrate_measures.py c r palestine P1900110</v>
      </c>
      <c r="M12" s="7" t="str">
        <f t="shared" si="3"/>
        <v>py import.py palestine.xml</v>
      </c>
    </row>
    <row r="13" spans="1:13" x14ac:dyDescent="0.25">
      <c r="A13" s="7" t="s">
        <v>74</v>
      </c>
      <c r="B13" s="6">
        <v>43554</v>
      </c>
      <c r="C13" s="7" t="s">
        <v>24</v>
      </c>
      <c r="D13" s="5" t="s">
        <v>112</v>
      </c>
      <c r="E13" s="7" t="s">
        <v>190</v>
      </c>
      <c r="F13" s="5" t="s">
        <v>229</v>
      </c>
      <c r="G13" s="8" t="str">
        <f t="shared" si="0"/>
        <v>2019 No. 0012</v>
      </c>
      <c r="H13" s="8" t="str">
        <f t="shared" si="1"/>
        <v>http://www.legislation.gov.uk/uksi/2019/0012/contents/made</v>
      </c>
      <c r="I13" s="8" t="s">
        <v>147</v>
      </c>
      <c r="J13" s="8" t="str">
        <f t="shared" si="2"/>
        <v>UK / Singapore Free Trade Agreement</v>
      </c>
      <c r="K13" s="8" t="s">
        <v>269</v>
      </c>
      <c r="L13" s="7" t="str">
        <f t="shared" si="4"/>
        <v>py migrate_measures.py c r singapore P1900120</v>
      </c>
      <c r="M13" s="7" t="str">
        <f t="shared" si="3"/>
        <v>py import.py singapore.xml</v>
      </c>
    </row>
    <row r="14" spans="1:13" x14ac:dyDescent="0.25">
      <c r="A14" s="7" t="s">
        <v>75</v>
      </c>
      <c r="B14" s="6">
        <v>43554</v>
      </c>
      <c r="C14" s="7" t="s">
        <v>24</v>
      </c>
      <c r="D14" s="5" t="s">
        <v>113</v>
      </c>
      <c r="E14" s="7" t="s">
        <v>191</v>
      </c>
      <c r="F14" s="5" t="s">
        <v>230</v>
      </c>
      <c r="G14" s="8" t="str">
        <f t="shared" si="0"/>
        <v>2019 No. 0013</v>
      </c>
      <c r="H14" s="8" t="str">
        <f t="shared" si="1"/>
        <v>http://www.legislation.gov.uk/uksi/2019/0013/contents/made</v>
      </c>
      <c r="I14" s="8" t="s">
        <v>148</v>
      </c>
      <c r="J14" s="8" t="str">
        <f t="shared" si="2"/>
        <v>UK / Central America Free Trade Agreement</v>
      </c>
      <c r="K14" s="8" t="s">
        <v>270</v>
      </c>
      <c r="L14" s="7" t="str">
        <f t="shared" si="4"/>
        <v>py migrate_measures.py c r centralamerica P1900130</v>
      </c>
      <c r="M14" s="7" t="str">
        <f t="shared" si="3"/>
        <v>py import.py centralamerica.xml</v>
      </c>
    </row>
    <row r="15" spans="1:13" x14ac:dyDescent="0.25">
      <c r="A15" s="7" t="s">
        <v>76</v>
      </c>
      <c r="B15" s="6">
        <v>43554</v>
      </c>
      <c r="C15" s="7" t="s">
        <v>24</v>
      </c>
      <c r="D15" s="5" t="s">
        <v>114</v>
      </c>
      <c r="E15" s="7" t="s">
        <v>192</v>
      </c>
      <c r="F15" s="5" t="s">
        <v>231</v>
      </c>
      <c r="G15" s="8" t="str">
        <f t="shared" si="0"/>
        <v>2019 No. 0014</v>
      </c>
      <c r="H15" s="8" t="str">
        <f t="shared" si="1"/>
        <v>http://www.legislation.gov.uk/uksi/2019/0014/contents/made</v>
      </c>
      <c r="I15" s="8" t="s">
        <v>149</v>
      </c>
      <c r="J15" s="8" t="str">
        <f t="shared" si="2"/>
        <v>UK / Tunisia Free Trade Agreement</v>
      </c>
      <c r="K15" s="8" t="s">
        <v>271</v>
      </c>
      <c r="L15" s="7" t="str">
        <f t="shared" si="4"/>
        <v>py migrate_measures.py c r tunisia P1900140</v>
      </c>
      <c r="M15" s="7" t="str">
        <f t="shared" si="3"/>
        <v>py import.py tunisia.xml</v>
      </c>
    </row>
    <row r="16" spans="1:13" x14ac:dyDescent="0.25">
      <c r="A16" s="7" t="s">
        <v>77</v>
      </c>
      <c r="B16" s="6">
        <v>43554</v>
      </c>
      <c r="C16" s="7" t="s">
        <v>24</v>
      </c>
      <c r="D16" s="5" t="s">
        <v>115</v>
      </c>
      <c r="E16" s="7" t="s">
        <v>193</v>
      </c>
      <c r="F16" s="5" t="s">
        <v>232</v>
      </c>
      <c r="G16" s="8" t="str">
        <f t="shared" si="0"/>
        <v>2019 No. 0015</v>
      </c>
      <c r="H16" s="8" t="str">
        <f t="shared" si="1"/>
        <v>http://www.legislation.gov.uk/uksi/2019/0015/contents/made</v>
      </c>
      <c r="I16" s="8" t="s">
        <v>150</v>
      </c>
      <c r="J16" s="8" t="str">
        <f t="shared" si="2"/>
        <v>UK / Jordan Free Trade Agreement</v>
      </c>
      <c r="K16" s="8" t="s">
        <v>272</v>
      </c>
      <c r="L16" s="7" t="str">
        <f t="shared" si="4"/>
        <v>py migrate_measures.py c r jordan P1900150</v>
      </c>
      <c r="M16" s="7" t="str">
        <f t="shared" si="3"/>
        <v>py import.py jordan.xml</v>
      </c>
    </row>
    <row r="17" spans="1:13" x14ac:dyDescent="0.25">
      <c r="A17" s="7" t="s">
        <v>78</v>
      </c>
      <c r="B17" s="6">
        <v>43554</v>
      </c>
      <c r="C17" s="7" t="s">
        <v>24</v>
      </c>
      <c r="D17" s="5" t="s">
        <v>116</v>
      </c>
      <c r="E17" s="7" t="s">
        <v>194</v>
      </c>
      <c r="F17" s="5" t="s">
        <v>233</v>
      </c>
      <c r="G17" s="8" t="str">
        <f t="shared" si="0"/>
        <v>2019 No. 0016</v>
      </c>
      <c r="H17" s="8" t="str">
        <f t="shared" si="1"/>
        <v>http://www.legislation.gov.uk/uksi/2019/0016/contents/made</v>
      </c>
      <c r="I17" s="8" t="s">
        <v>151</v>
      </c>
      <c r="J17" s="8" t="str">
        <f t="shared" si="2"/>
        <v>UK / Kosovo Free Trade Agreement</v>
      </c>
      <c r="K17" s="8" t="s">
        <v>273</v>
      </c>
      <c r="L17" s="7" t="str">
        <f t="shared" si="4"/>
        <v>py migrate_measures.py c r kosovo P1900160</v>
      </c>
      <c r="M17" s="7" t="str">
        <f t="shared" si="3"/>
        <v>py import.py kosovo.xml</v>
      </c>
    </row>
    <row r="18" spans="1:13" x14ac:dyDescent="0.25">
      <c r="A18" s="7" t="s">
        <v>79</v>
      </c>
      <c r="B18" s="6">
        <v>43554</v>
      </c>
      <c r="C18" s="7" t="s">
        <v>24</v>
      </c>
      <c r="D18" s="5" t="s">
        <v>117</v>
      </c>
      <c r="E18" s="7" t="s">
        <v>195</v>
      </c>
      <c r="F18" s="5" t="s">
        <v>234</v>
      </c>
      <c r="G18" s="8" t="str">
        <f t="shared" si="0"/>
        <v>2019 No. 0017</v>
      </c>
      <c r="H18" s="8" t="str">
        <f t="shared" si="1"/>
        <v>http://www.legislation.gov.uk/uksi/2019/0017/contents/made</v>
      </c>
      <c r="I18" s="8" t="s">
        <v>152</v>
      </c>
      <c r="J18" s="8" t="str">
        <f t="shared" si="2"/>
        <v>UK / Montenegro Free Trade Agreement</v>
      </c>
      <c r="K18" s="8" t="s">
        <v>274</v>
      </c>
      <c r="L18" s="7" t="str">
        <f t="shared" si="4"/>
        <v>py migrate_measures.py c r montenegro P1900170</v>
      </c>
      <c r="M18" s="7" t="str">
        <f t="shared" si="3"/>
        <v>py import.py montenegro.xml</v>
      </c>
    </row>
    <row r="19" spans="1:13" x14ac:dyDescent="0.25">
      <c r="A19" s="7" t="s">
        <v>80</v>
      </c>
      <c r="B19" s="6">
        <v>43554</v>
      </c>
      <c r="C19" s="7" t="s">
        <v>24</v>
      </c>
      <c r="D19" s="5" t="s">
        <v>118</v>
      </c>
      <c r="E19" s="7" t="s">
        <v>196</v>
      </c>
      <c r="F19" s="5" t="s">
        <v>235</v>
      </c>
      <c r="G19" s="8" t="str">
        <f t="shared" si="0"/>
        <v>2019 No. 0018</v>
      </c>
      <c r="H19" s="8" t="str">
        <f t="shared" si="1"/>
        <v>http://www.legislation.gov.uk/uksi/2019/0018/contents/made</v>
      </c>
      <c r="I19" s="8" t="s">
        <v>153</v>
      </c>
      <c r="J19" s="8" t="str">
        <f t="shared" si="2"/>
        <v>UK / Macedonia Free Trade Agreement</v>
      </c>
      <c r="K19" s="8" t="s">
        <v>275</v>
      </c>
      <c r="L19" s="7" t="str">
        <f t="shared" si="4"/>
        <v>py migrate_measures.py c r macedonia P1900180</v>
      </c>
      <c r="M19" s="7" t="str">
        <f t="shared" si="3"/>
        <v>py import.py macedonia.xml</v>
      </c>
    </row>
    <row r="20" spans="1:13" x14ac:dyDescent="0.25">
      <c r="A20" s="7" t="s">
        <v>81</v>
      </c>
      <c r="B20" s="6">
        <v>43554</v>
      </c>
      <c r="C20" s="7" t="s">
        <v>24</v>
      </c>
      <c r="D20" s="5" t="s">
        <v>119</v>
      </c>
      <c r="E20" s="7" t="s">
        <v>197</v>
      </c>
      <c r="F20" s="5" t="s">
        <v>236</v>
      </c>
      <c r="G20" s="8" t="str">
        <f t="shared" si="0"/>
        <v>2019 No. 0019</v>
      </c>
      <c r="H20" s="8" t="str">
        <f t="shared" si="1"/>
        <v>http://www.legislation.gov.uk/uksi/2019/0019/contents/made</v>
      </c>
      <c r="I20" s="8" t="s">
        <v>154</v>
      </c>
      <c r="J20" s="8" t="str">
        <f t="shared" si="2"/>
        <v>UK / Albania Free Trade Agreement</v>
      </c>
      <c r="K20" s="8" t="s">
        <v>277</v>
      </c>
      <c r="L20" s="7" t="str">
        <f t="shared" si="4"/>
        <v>py migrate_measures.py c r albania P1900190</v>
      </c>
      <c r="M20" s="7" t="str">
        <f t="shared" si="3"/>
        <v>py import.py albania.xml</v>
      </c>
    </row>
    <row r="21" spans="1:13" x14ac:dyDescent="0.25">
      <c r="A21" s="7" t="s">
        <v>82</v>
      </c>
      <c r="B21" s="6">
        <v>43554</v>
      </c>
      <c r="C21" s="7" t="s">
        <v>24</v>
      </c>
      <c r="D21" s="5" t="s">
        <v>120</v>
      </c>
      <c r="E21" s="7" t="s">
        <v>198</v>
      </c>
      <c r="F21" s="5" t="s">
        <v>237</v>
      </c>
      <c r="G21" s="8" t="str">
        <f t="shared" si="0"/>
        <v>2019 No. 0020</v>
      </c>
      <c r="H21" s="8" t="str">
        <f t="shared" si="1"/>
        <v>http://www.legislation.gov.uk/uksi/2019/0020/contents/made</v>
      </c>
      <c r="I21" s="8" t="s">
        <v>175</v>
      </c>
      <c r="J21" s="8" t="str">
        <f t="shared" si="2"/>
        <v>UK / Cote d’Ivoire Free Trade Agreement</v>
      </c>
      <c r="K21" s="8" t="s">
        <v>276</v>
      </c>
      <c r="L21" s="7" t="str">
        <f t="shared" si="4"/>
        <v>py migrate_measures.py c r cotedivoire P1900200</v>
      </c>
      <c r="M21" s="7" t="str">
        <f t="shared" si="3"/>
        <v>py import.py cotedivoire.xml</v>
      </c>
    </row>
    <row r="22" spans="1:13" x14ac:dyDescent="0.25">
      <c r="A22" s="7" t="s">
        <v>83</v>
      </c>
      <c r="B22" s="6">
        <v>43554</v>
      </c>
      <c r="C22" s="7" t="s">
        <v>24</v>
      </c>
      <c r="D22" s="5" t="s">
        <v>121</v>
      </c>
      <c r="E22" s="7" t="s">
        <v>199</v>
      </c>
      <c r="F22" s="5" t="s">
        <v>238</v>
      </c>
      <c r="G22" s="8" t="str">
        <f t="shared" si="0"/>
        <v>2019 No. 0021</v>
      </c>
      <c r="H22" s="8" t="str">
        <f t="shared" si="1"/>
        <v>http://www.legislation.gov.uk/uksi/2019/0021/contents/made</v>
      </c>
      <c r="I22" s="8" t="s">
        <v>176</v>
      </c>
      <c r="J22" s="8" t="str">
        <f t="shared" si="2"/>
        <v>UK / Cameroon Free Trade Agreement</v>
      </c>
      <c r="K22" s="8" t="s">
        <v>278</v>
      </c>
      <c r="L22" s="7" t="str">
        <f t="shared" si="4"/>
        <v>py migrate_measures.py c r cameroon P1900210</v>
      </c>
      <c r="M22" s="7" t="str">
        <f t="shared" si="3"/>
        <v>py import.py cameroon.xml</v>
      </c>
    </row>
    <row r="23" spans="1:13" x14ac:dyDescent="0.25">
      <c r="A23" s="7" t="s">
        <v>84</v>
      </c>
      <c r="B23" s="6">
        <v>43554</v>
      </c>
      <c r="C23" s="7" t="s">
        <v>24</v>
      </c>
      <c r="D23" s="5" t="s">
        <v>122</v>
      </c>
      <c r="E23" s="7" t="s">
        <v>200</v>
      </c>
      <c r="F23" s="5" t="s">
        <v>239</v>
      </c>
      <c r="G23" s="8" t="str">
        <f t="shared" si="0"/>
        <v>2019 No. 0022</v>
      </c>
      <c r="H23" s="8" t="str">
        <f t="shared" si="1"/>
        <v>http://www.legislation.gov.uk/uksi/2019/0022/contents/made</v>
      </c>
      <c r="I23" s="8" t="s">
        <v>155</v>
      </c>
      <c r="J23" s="8" t="str">
        <f t="shared" si="2"/>
        <v>UK / Faroe Islands Free Trade Agreement</v>
      </c>
      <c r="K23" s="8" t="s">
        <v>279</v>
      </c>
      <c r="L23" s="7" t="str">
        <f t="shared" si="4"/>
        <v>py migrate_measures.py c r faroeislands P1900220</v>
      </c>
      <c r="M23" s="7" t="str">
        <f t="shared" si="3"/>
        <v>py import.py faroeislands.xml</v>
      </c>
    </row>
    <row r="24" spans="1:13" x14ac:dyDescent="0.25">
      <c r="A24" s="7" t="s">
        <v>85</v>
      </c>
      <c r="B24" s="6">
        <v>43554</v>
      </c>
      <c r="C24" s="7" t="s">
        <v>24</v>
      </c>
      <c r="D24" s="5" t="s">
        <v>123</v>
      </c>
      <c r="E24" s="7" t="s">
        <v>201</v>
      </c>
      <c r="F24" s="5" t="s">
        <v>240</v>
      </c>
      <c r="G24" s="8" t="str">
        <f t="shared" si="0"/>
        <v>2019 No. 0023</v>
      </c>
      <c r="H24" s="8" t="str">
        <f t="shared" si="1"/>
        <v>http://www.legislation.gov.uk/uksi/2019/0023/contents/made</v>
      </c>
      <c r="I24" s="8" t="s">
        <v>156</v>
      </c>
      <c r="J24" s="8" t="str">
        <f t="shared" si="2"/>
        <v>UK / Andean Free Trade Agreement</v>
      </c>
      <c r="K24" s="8" t="s">
        <v>280</v>
      </c>
      <c r="L24" s="7" t="str">
        <f t="shared" si="4"/>
        <v>py migrate_measures.py c r andean P1900230</v>
      </c>
      <c r="M24" s="7" t="str">
        <f t="shared" si="3"/>
        <v>py import.py andean.xml</v>
      </c>
    </row>
    <row r="25" spans="1:13" x14ac:dyDescent="0.25">
      <c r="A25" s="7" t="s">
        <v>86</v>
      </c>
      <c r="B25" s="6">
        <v>43554</v>
      </c>
      <c r="C25" s="7" t="s">
        <v>24</v>
      </c>
      <c r="D25" s="5" t="s">
        <v>124</v>
      </c>
      <c r="E25" s="7" t="s">
        <v>202</v>
      </c>
      <c r="F25" s="5" t="s">
        <v>241</v>
      </c>
      <c r="G25" s="8" t="str">
        <f t="shared" si="0"/>
        <v>2019 No. 0024</v>
      </c>
      <c r="H25" s="8" t="str">
        <f t="shared" si="1"/>
        <v>http://www.legislation.gov.uk/uksi/2019/0024/contents/made</v>
      </c>
      <c r="I25" s="8" t="s">
        <v>177</v>
      </c>
      <c r="J25" s="8" t="str">
        <f t="shared" si="2"/>
        <v>UK / East African Community (EAC) Free Trade Agreement</v>
      </c>
      <c r="L25" s="7" t="str">
        <f t="shared" si="4"/>
        <v>py migrate_measures.py c r  P1900240</v>
      </c>
      <c r="M25" s="7" t="str">
        <f t="shared" si="3"/>
        <v>py import.py .xml</v>
      </c>
    </row>
    <row r="26" spans="1:13" x14ac:dyDescent="0.25">
      <c r="A26" s="7" t="s">
        <v>87</v>
      </c>
      <c r="B26" s="6">
        <v>43554</v>
      </c>
      <c r="C26" s="7" t="s">
        <v>24</v>
      </c>
      <c r="D26" s="5" t="s">
        <v>125</v>
      </c>
      <c r="E26" s="7" t="s">
        <v>203</v>
      </c>
      <c r="F26" s="5" t="s">
        <v>242</v>
      </c>
      <c r="G26" s="8" t="str">
        <f t="shared" si="0"/>
        <v>2019 No. 0025</v>
      </c>
      <c r="H26" s="8" t="str">
        <f t="shared" si="1"/>
        <v>http://www.legislation.gov.uk/uksi/2019/0025/contents/made</v>
      </c>
      <c r="I26" s="8" t="s">
        <v>157</v>
      </c>
      <c r="J26" s="8" t="str">
        <f t="shared" si="2"/>
        <v>UK / Morocco Free Trade Agreement</v>
      </c>
      <c r="L26" s="7" t="str">
        <f t="shared" si="4"/>
        <v>py migrate_measures.py c r  P1900250</v>
      </c>
      <c r="M26" s="7" t="str">
        <f t="shared" si="3"/>
        <v>py import.py .xml</v>
      </c>
    </row>
    <row r="27" spans="1:13" x14ac:dyDescent="0.25">
      <c r="A27" s="7" t="s">
        <v>88</v>
      </c>
      <c r="B27" s="6">
        <v>43554</v>
      </c>
      <c r="C27" s="7" t="s">
        <v>24</v>
      </c>
      <c r="D27" s="5" t="s">
        <v>126</v>
      </c>
      <c r="E27" s="7" t="s">
        <v>204</v>
      </c>
      <c r="F27" s="5" t="s">
        <v>243</v>
      </c>
      <c r="G27" s="8" t="str">
        <f t="shared" si="0"/>
        <v>2019 No. 0026</v>
      </c>
      <c r="H27" s="8" t="str">
        <f t="shared" si="1"/>
        <v>http://www.legislation.gov.uk/uksi/2019/0026/contents/made</v>
      </c>
      <c r="I27" s="8" t="s">
        <v>158</v>
      </c>
      <c r="J27" s="8" t="str">
        <f t="shared" si="2"/>
        <v>UK / Lebanon Free Trade Agreement</v>
      </c>
      <c r="K27" s="8" t="s">
        <v>281</v>
      </c>
      <c r="L27" s="7" t="str">
        <f t="shared" si="4"/>
        <v>py migrate_measures.py c r lebanon P1900260</v>
      </c>
      <c r="M27" s="7" t="str">
        <f t="shared" si="3"/>
        <v>py import.py lebanon.xml</v>
      </c>
    </row>
    <row r="28" spans="1:13" x14ac:dyDescent="0.25">
      <c r="A28" s="7" t="s">
        <v>89</v>
      </c>
      <c r="B28" s="6">
        <v>43554</v>
      </c>
      <c r="C28" s="7" t="s">
        <v>24</v>
      </c>
      <c r="D28" s="5" t="s">
        <v>127</v>
      </c>
      <c r="E28" s="7" t="s">
        <v>205</v>
      </c>
      <c r="F28" s="5" t="s">
        <v>244</v>
      </c>
      <c r="G28" s="8" t="str">
        <f t="shared" si="0"/>
        <v>2019 No. 0027</v>
      </c>
      <c r="H28" s="8" t="str">
        <f t="shared" si="1"/>
        <v>http://www.legislation.gov.uk/uksi/2019/0027/contents/made</v>
      </c>
      <c r="I28" s="8" t="s">
        <v>159</v>
      </c>
      <c r="J28" s="8" t="str">
        <f t="shared" si="2"/>
        <v>UK / Egypt Free Trade Agreement</v>
      </c>
      <c r="K28" s="8" t="s">
        <v>282</v>
      </c>
      <c r="L28" s="7" t="str">
        <f t="shared" si="4"/>
        <v>py migrate_measures.py c r egypt P1900270</v>
      </c>
      <c r="M28" s="7" t="str">
        <f t="shared" si="3"/>
        <v>py import.py egypt.xml</v>
      </c>
    </row>
    <row r="29" spans="1:13" x14ac:dyDescent="0.25">
      <c r="A29" s="7" t="s">
        <v>90</v>
      </c>
      <c r="B29" s="6">
        <v>43554</v>
      </c>
      <c r="C29" s="7" t="s">
        <v>24</v>
      </c>
      <c r="D29" s="5" t="s">
        <v>128</v>
      </c>
      <c r="E29" s="7" t="s">
        <v>206</v>
      </c>
      <c r="F29" s="5" t="s">
        <v>245</v>
      </c>
      <c r="G29" s="8" t="str">
        <f t="shared" si="0"/>
        <v>2019 No. 0028</v>
      </c>
      <c r="H29" s="8" t="str">
        <f t="shared" si="1"/>
        <v>http://www.legislation.gov.uk/uksi/2019/0028/contents/made</v>
      </c>
      <c r="I29" s="8" t="s">
        <v>160</v>
      </c>
      <c r="J29" s="8" t="str">
        <f t="shared" si="2"/>
        <v>UK / Serbia Free Trade Agreement</v>
      </c>
      <c r="K29" s="8" t="s">
        <v>283</v>
      </c>
      <c r="L29" s="7" t="str">
        <f t="shared" si="4"/>
        <v>py migrate_measures.py c r serbia P1900280</v>
      </c>
      <c r="M29" s="7" t="str">
        <f t="shared" si="3"/>
        <v>py import.py serbia.xml</v>
      </c>
    </row>
    <row r="30" spans="1:13" x14ac:dyDescent="0.25">
      <c r="A30" s="7" t="s">
        <v>91</v>
      </c>
      <c r="B30" s="6">
        <v>43554</v>
      </c>
      <c r="C30" s="7" t="s">
        <v>24</v>
      </c>
      <c r="D30" s="5" t="s">
        <v>129</v>
      </c>
      <c r="E30" s="7" t="s">
        <v>207</v>
      </c>
      <c r="F30" s="5" t="s">
        <v>246</v>
      </c>
      <c r="G30" s="8" t="str">
        <f t="shared" si="0"/>
        <v>2019 No. 0029</v>
      </c>
      <c r="H30" s="8" t="str">
        <f t="shared" si="1"/>
        <v>http://www.legislation.gov.uk/uksi/2019/0029/contents/made</v>
      </c>
      <c r="I30" s="8" t="s">
        <v>161</v>
      </c>
      <c r="J30" s="8" t="str">
        <f t="shared" si="2"/>
        <v>UK / Ukraine Free Trade Agreement</v>
      </c>
      <c r="K30" s="8" t="s">
        <v>284</v>
      </c>
      <c r="L30" s="7" t="str">
        <f t="shared" si="4"/>
        <v>py migrate_measures.py c r ukraine P1900290</v>
      </c>
      <c r="M30" s="7" t="str">
        <f t="shared" si="3"/>
        <v>py import.py ukraine.xml</v>
      </c>
    </row>
    <row r="31" spans="1:13" x14ac:dyDescent="0.25">
      <c r="A31" s="7" t="s">
        <v>92</v>
      </c>
      <c r="B31" s="6">
        <v>43554</v>
      </c>
      <c r="C31" s="7" t="s">
        <v>24</v>
      </c>
      <c r="D31" s="5" t="s">
        <v>130</v>
      </c>
      <c r="E31" s="7" t="s">
        <v>208</v>
      </c>
      <c r="F31" s="5" t="s">
        <v>247</v>
      </c>
      <c r="G31" s="8" t="str">
        <f t="shared" si="0"/>
        <v>2019 No. 0030</v>
      </c>
      <c r="H31" s="8" t="str">
        <f t="shared" si="1"/>
        <v>http://www.legislation.gov.uk/uksi/2019/0030/contents/made</v>
      </c>
      <c r="I31" s="8" t="s">
        <v>162</v>
      </c>
      <c r="J31" s="8" t="str">
        <f t="shared" si="2"/>
        <v>UK / Georgia Free Trade Agreement</v>
      </c>
      <c r="K31" s="8" t="s">
        <v>285</v>
      </c>
      <c r="L31" s="7" t="str">
        <f t="shared" si="4"/>
        <v>py migrate_measures.py c r georgia P1900300</v>
      </c>
      <c r="M31" s="7" t="str">
        <f t="shared" si="3"/>
        <v>py import.py georgia.xml</v>
      </c>
    </row>
    <row r="32" spans="1:13" x14ac:dyDescent="0.25">
      <c r="A32" s="7" t="s">
        <v>93</v>
      </c>
      <c r="B32" s="6">
        <v>43554</v>
      </c>
      <c r="C32" s="7" t="s">
        <v>24</v>
      </c>
      <c r="D32" s="5" t="s">
        <v>131</v>
      </c>
      <c r="E32" s="7" t="s">
        <v>209</v>
      </c>
      <c r="F32" s="5" t="s">
        <v>248</v>
      </c>
      <c r="G32" s="8" t="str">
        <f t="shared" si="0"/>
        <v>2019 No. 0031</v>
      </c>
      <c r="H32" s="8" t="str">
        <f t="shared" si="1"/>
        <v>http://www.legislation.gov.uk/uksi/2019/0031/contents/made</v>
      </c>
      <c r="I32" s="8" t="s">
        <v>163</v>
      </c>
      <c r="J32" s="8" t="str">
        <f t="shared" si="2"/>
        <v>UK / Mexico Free Trade Agreement</v>
      </c>
      <c r="K32" s="8" t="s">
        <v>286</v>
      </c>
      <c r="L32" s="7" t="str">
        <f t="shared" si="4"/>
        <v>py migrate_measures.py c r mexico P1900310</v>
      </c>
      <c r="M32" s="7" t="str">
        <f t="shared" si="3"/>
        <v>py import.py mexico.xml</v>
      </c>
    </row>
    <row r="33" spans="1:13" x14ac:dyDescent="0.25">
      <c r="A33" s="7" t="s">
        <v>94</v>
      </c>
      <c r="B33" s="6">
        <v>43554</v>
      </c>
      <c r="C33" s="7" t="s">
        <v>24</v>
      </c>
      <c r="D33" s="5" t="s">
        <v>132</v>
      </c>
      <c r="E33" s="7" t="s">
        <v>210</v>
      </c>
      <c r="F33" s="5" t="s">
        <v>249</v>
      </c>
      <c r="G33" s="8" t="str">
        <f t="shared" si="0"/>
        <v>2019 No. 0032</v>
      </c>
      <c r="H33" s="8" t="str">
        <f t="shared" si="1"/>
        <v>http://www.legislation.gov.uk/uksi/2019/0032/contents/made</v>
      </c>
      <c r="I33" s="8" t="s">
        <v>178</v>
      </c>
      <c r="J33" s="8" t="str">
        <f t="shared" si="2"/>
        <v>UK / European Economic Area (EEA) Free Trade Agreement</v>
      </c>
      <c r="L33" s="7" t="str">
        <f t="shared" si="4"/>
        <v>py migrate_measures.py c r  P1900320</v>
      </c>
      <c r="M33" s="7" t="str">
        <f t="shared" si="3"/>
        <v>py import.py .xml</v>
      </c>
    </row>
    <row r="34" spans="1:13" x14ac:dyDescent="0.25">
      <c r="A34" s="7" t="s">
        <v>95</v>
      </c>
      <c r="B34" s="6">
        <v>43554</v>
      </c>
      <c r="C34" s="7" t="s">
        <v>24</v>
      </c>
      <c r="D34" s="5" t="s">
        <v>133</v>
      </c>
      <c r="E34" s="7" t="s">
        <v>211</v>
      </c>
      <c r="F34" s="5" t="s">
        <v>250</v>
      </c>
      <c r="G34" s="8" t="str">
        <f t="shared" si="0"/>
        <v>2019 No. 0033</v>
      </c>
      <c r="H34" s="8" t="str">
        <f t="shared" si="1"/>
        <v>http://www.legislation.gov.uk/uksi/2019/0033/contents/made</v>
      </c>
      <c r="I34" s="8" t="s">
        <v>164</v>
      </c>
      <c r="J34" s="8" t="str">
        <f t="shared" si="2"/>
        <v>UK / Turkey Free Trade Agreement</v>
      </c>
      <c r="K34" s="8" t="s">
        <v>287</v>
      </c>
      <c r="L34" s="7" t="str">
        <f t="shared" si="4"/>
        <v>py migrate_measures.py c r turkey P1900330</v>
      </c>
      <c r="M34" s="7" t="str">
        <f t="shared" si="3"/>
        <v>py import.py turkey.xml</v>
      </c>
    </row>
    <row r="35" spans="1:13" x14ac:dyDescent="0.25">
      <c r="A35" s="7" t="s">
        <v>96</v>
      </c>
      <c r="B35" s="6">
        <v>43554</v>
      </c>
      <c r="C35" s="7" t="s">
        <v>24</v>
      </c>
      <c r="D35" s="5" t="s">
        <v>134</v>
      </c>
      <c r="E35" s="7" t="s">
        <v>212</v>
      </c>
      <c r="F35" s="5" t="s">
        <v>251</v>
      </c>
      <c r="G35" s="8" t="str">
        <f t="shared" si="0"/>
        <v>2019 No. 0034</v>
      </c>
      <c r="H35" s="8" t="str">
        <f t="shared" si="1"/>
        <v>http://www.legislation.gov.uk/uksi/2019/0034/contents/made</v>
      </c>
      <c r="I35" s="8" t="s">
        <v>165</v>
      </c>
      <c r="J35" s="8" t="str">
        <f t="shared" si="2"/>
        <v>UK / Japan Free Trade Agreement</v>
      </c>
      <c r="L35" s="7" t="str">
        <f t="shared" si="4"/>
        <v>py migrate_measures.py c r  P1900340</v>
      </c>
      <c r="M35" s="7" t="str">
        <f t="shared" si="3"/>
        <v>py import.py .xml</v>
      </c>
    </row>
    <row r="36" spans="1:13" x14ac:dyDescent="0.25">
      <c r="A36" s="7" t="s">
        <v>97</v>
      </c>
      <c r="B36" s="6">
        <v>43554</v>
      </c>
      <c r="C36" s="7" t="s">
        <v>24</v>
      </c>
      <c r="D36" s="5" t="s">
        <v>135</v>
      </c>
      <c r="E36" s="7" t="s">
        <v>213</v>
      </c>
      <c r="F36" s="5" t="s">
        <v>252</v>
      </c>
      <c r="G36" s="8" t="str">
        <f t="shared" si="0"/>
        <v>2019 No. 0035</v>
      </c>
      <c r="H36" s="8" t="str">
        <f t="shared" si="1"/>
        <v>http://www.legislation.gov.uk/uksi/2019/0035/contents/made</v>
      </c>
      <c r="I36" s="8" t="s">
        <v>166</v>
      </c>
      <c r="J36" s="8" t="str">
        <f t="shared" si="2"/>
        <v>UK / Algeria Free Trade Agreement</v>
      </c>
      <c r="K36" s="8" t="s">
        <v>288</v>
      </c>
      <c r="L36" s="7" t="str">
        <f t="shared" si="4"/>
        <v>py migrate_measures.py c r algeria P1900350</v>
      </c>
      <c r="M36" s="7" t="str">
        <f t="shared" si="3"/>
        <v>py import.py algeria.xml</v>
      </c>
    </row>
    <row r="37" spans="1:13" x14ac:dyDescent="0.25">
      <c r="A37" s="7" t="s">
        <v>98</v>
      </c>
      <c r="B37" s="6">
        <v>43554</v>
      </c>
      <c r="C37" s="7" t="s">
        <v>24</v>
      </c>
      <c r="D37" s="5" t="s">
        <v>136</v>
      </c>
      <c r="E37" s="7" t="s">
        <v>214</v>
      </c>
      <c r="F37" s="5" t="s">
        <v>253</v>
      </c>
      <c r="G37" s="8" t="str">
        <f t="shared" si="0"/>
        <v>2019 No. 0036</v>
      </c>
      <c r="H37" s="8" t="str">
        <f t="shared" si="1"/>
        <v>http://www.legislation.gov.uk/uksi/2019/0036/contents/made</v>
      </c>
      <c r="I37" s="8" t="s">
        <v>167</v>
      </c>
      <c r="J37" s="8" t="str">
        <f t="shared" si="2"/>
        <v>UK / Moldova Free Trade Agreement</v>
      </c>
      <c r="K37" s="8" t="s">
        <v>289</v>
      </c>
      <c r="L37" s="7" t="str">
        <f t="shared" si="4"/>
        <v>py migrate_measures.py c r moldova P1900360</v>
      </c>
      <c r="M37" s="7" t="str">
        <f t="shared" si="3"/>
        <v>py import.py moldova.xml</v>
      </c>
    </row>
    <row r="38" spans="1:13" x14ac:dyDescent="0.25">
      <c r="A38" s="7" t="s">
        <v>99</v>
      </c>
      <c r="B38" s="6">
        <v>43554</v>
      </c>
      <c r="C38" s="7" t="s">
        <v>24</v>
      </c>
      <c r="D38" s="5" t="s">
        <v>137</v>
      </c>
      <c r="E38" s="7" t="s">
        <v>215</v>
      </c>
      <c r="F38" s="5" t="s">
        <v>254</v>
      </c>
      <c r="G38" s="8" t="str">
        <f t="shared" si="0"/>
        <v>2019 No. 0037</v>
      </c>
      <c r="H38" s="8" t="str">
        <f t="shared" si="1"/>
        <v>http://www.legislation.gov.uk/uksi/2019/0037/contents/made</v>
      </c>
      <c r="I38" s="8" t="s">
        <v>168</v>
      </c>
      <c r="J38" s="8" t="str">
        <f t="shared" si="2"/>
        <v>UK / Vietnam Free Trade Agreement</v>
      </c>
      <c r="K38" s="8" t="s">
        <v>290</v>
      </c>
      <c r="L38" s="7" t="str">
        <f t="shared" si="4"/>
        <v>py migrate_measures.py c r vietnam P1900370</v>
      </c>
      <c r="M38" s="7" t="str">
        <f t="shared" si="3"/>
        <v>py import.py vietnam.xml</v>
      </c>
    </row>
    <row r="39" spans="1:13" x14ac:dyDescent="0.25">
      <c r="A39" s="7" t="s">
        <v>100</v>
      </c>
      <c r="B39" s="6">
        <v>43554</v>
      </c>
      <c r="C39" s="7" t="s">
        <v>24</v>
      </c>
      <c r="D39" s="5" t="s">
        <v>138</v>
      </c>
      <c r="E39" s="7" t="s">
        <v>216</v>
      </c>
      <c r="F39" s="5" t="s">
        <v>255</v>
      </c>
      <c r="G39" s="8" t="str">
        <f t="shared" si="0"/>
        <v>2019 No. 0038</v>
      </c>
      <c r="H39" s="8" t="str">
        <f t="shared" si="1"/>
        <v>http://www.legislation.gov.uk/uksi/2019/0038/contents/made</v>
      </c>
      <c r="I39" s="8" t="s">
        <v>169</v>
      </c>
      <c r="J39" s="8" t="str">
        <f t="shared" si="2"/>
        <v>UK / Bosnia Free Trade Agreement</v>
      </c>
      <c r="K39" s="8" t="s">
        <v>291</v>
      </c>
      <c r="L39" s="7" t="str">
        <f t="shared" si="4"/>
        <v>py migrate_measures.py c r bosnia P1900380</v>
      </c>
      <c r="M39" s="7" t="str">
        <f t="shared" si="3"/>
        <v>py import.py bosnia.xml</v>
      </c>
    </row>
    <row r="40" spans="1:13" x14ac:dyDescent="0.25">
      <c r="A40" s="9" t="s">
        <v>293</v>
      </c>
      <c r="B40" s="10">
        <v>43554</v>
      </c>
      <c r="C40" s="9" t="s">
        <v>24</v>
      </c>
      <c r="D40" s="11" t="s">
        <v>294</v>
      </c>
      <c r="E40" s="9" t="s">
        <v>295</v>
      </c>
      <c r="F40" s="11" t="s">
        <v>296</v>
      </c>
      <c r="G40" s="9" t="str">
        <f t="shared" si="0"/>
        <v>2019 No. 0039</v>
      </c>
      <c r="H40" s="9" t="str">
        <f t="shared" si="1"/>
        <v>http://www.legislation.gov.uk/uksi/2019/0039/contents/made</v>
      </c>
      <c r="I40" s="9" t="s">
        <v>297</v>
      </c>
      <c r="J40" s="9" t="str">
        <f t="shared" ref="J40" si="5">CONCATENATE("UK / ", I40, " Free Trade Agreement")</f>
        <v>UK / Iceland Free Trade Agreement</v>
      </c>
      <c r="K40" s="9" t="s">
        <v>298</v>
      </c>
      <c r="L40" s="9" t="str">
        <f t="shared" ref="L40" si="6">CONCATENATE("py migrate_measures.py c r ", K40, " ", A40)</f>
        <v>py migrate_measures.py c r iceland P1900390</v>
      </c>
      <c r="M40" s="7" t="str">
        <f t="shared" si="3"/>
        <v>py import.py iceland.xml</v>
      </c>
    </row>
    <row r="41" spans="1:13" x14ac:dyDescent="0.25">
      <c r="A41" s="9" t="s">
        <v>299</v>
      </c>
      <c r="B41" s="10">
        <v>43554</v>
      </c>
      <c r="C41" s="9" t="s">
        <v>24</v>
      </c>
      <c r="D41" s="11" t="s">
        <v>134</v>
      </c>
      <c r="E41" s="9" t="s">
        <v>302</v>
      </c>
      <c r="F41" s="11" t="s">
        <v>303</v>
      </c>
      <c r="G41" s="9" t="str">
        <f t="shared" si="0"/>
        <v>2019 No. 0040</v>
      </c>
      <c r="H41" s="9" t="str">
        <f t="shared" si="1"/>
        <v>http://www.legislation.gov.uk/uksi/2019/0040/contents/made</v>
      </c>
      <c r="I41" s="9" t="s">
        <v>300</v>
      </c>
      <c r="J41" s="9" t="str">
        <f t="shared" ref="J41" si="7">CONCATENATE("UK / ", I41, " Free Trade Agreement")</f>
        <v>UK / Norway Free Trade Agreement</v>
      </c>
      <c r="K41" s="9" t="s">
        <v>301</v>
      </c>
      <c r="L41" s="9" t="str">
        <f t="shared" ref="L41:L44" si="8">CONCATENATE("py migrate_measures.py c r ", K41, " ", A41)</f>
        <v>py migrate_measures.py c r norway P1900400</v>
      </c>
      <c r="M41" s="7" t="str">
        <f t="shared" si="3"/>
        <v>py import.py norway.xml</v>
      </c>
    </row>
    <row r="42" spans="1:13" x14ac:dyDescent="0.25">
      <c r="K42" s="8" t="s">
        <v>292</v>
      </c>
      <c r="L42" s="9" t="str">
        <f t="shared" si="8"/>
        <v xml:space="preserve">py migrate_measures.py c r ecuador </v>
      </c>
      <c r="M42" s="7" t="str">
        <f t="shared" si="3"/>
        <v>py import.py ecuador.xml</v>
      </c>
    </row>
    <row r="43" spans="1:13" x14ac:dyDescent="0.25">
      <c r="K43" s="8" t="s">
        <v>306</v>
      </c>
      <c r="L43" s="9" t="str">
        <f t="shared" si="8"/>
        <v xml:space="preserve">py migrate_measures.py c r colombia </v>
      </c>
      <c r="M43" s="7" t="str">
        <f t="shared" si="3"/>
        <v>py import.py colombia.xml</v>
      </c>
    </row>
    <row r="44" spans="1:13" x14ac:dyDescent="0.25">
      <c r="K44" s="8" t="s">
        <v>307</v>
      </c>
      <c r="L44" s="9" t="str">
        <f t="shared" si="8"/>
        <v xml:space="preserve">py migrate_measures.py c r peru </v>
      </c>
      <c r="M44" s="7" t="str">
        <f t="shared" si="3"/>
        <v>py import.py peru.xml</v>
      </c>
    </row>
  </sheetData>
  <dataValidations count="1">
    <dataValidation type="list" allowBlank="1" showInputMessage="1" showErrorMessage="1" sqref="C2:C1048576" xr:uid="{2DDE8B77-5BF0-4B48-BC33-1A5CC67B894C}">
      <formula1>regulation_group_ids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E0A-C07E-4563-B567-C9113EC1DAFC}">
  <sheetPr codeName="Sheet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23" style="7" bestFit="1" customWidth="1"/>
    <col min="6" max="6" width="86.85546875" style="5" customWidth="1"/>
    <col min="7" max="7" width="25.7109375" style="7" customWidth="1"/>
    <col min="8" max="16384" width="9.140625" style="1"/>
  </cols>
  <sheetData>
    <row r="1" spans="1:7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1</v>
      </c>
      <c r="G1" s="4" t="s">
        <v>62</v>
      </c>
    </row>
  </sheetData>
  <dataValidations count="1">
    <dataValidation type="list" allowBlank="1" showInputMessage="1" showErrorMessage="1" sqref="C2:C1048576" xr:uid="{7336D33E-73B3-4A39-9EBE-94DD95B1ECC2}">
      <formula1>regulation_group_ids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373A-A35C-4431-8DDC-3DBF2D122AFB}">
  <sheetPr codeName="Sheet2"/>
  <dimension ref="A1:B28"/>
  <sheetViews>
    <sheetView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11" customWidth="1"/>
    <col min="2" max="2" width="45.5703125" bestFit="1" customWidth="1"/>
  </cols>
  <sheetData>
    <row r="1" spans="1:2" x14ac:dyDescent="0.25">
      <c r="A1" s="2" t="s">
        <v>56</v>
      </c>
      <c r="B1" s="2" t="s">
        <v>57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</vt:lpstr>
      <vt:lpstr>Updated</vt:lpstr>
      <vt:lpstr>Regulation groups</vt:lpstr>
      <vt:lpstr>regulation_group_ids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2018-11-29T17:01:36Z</dcterms:created>
  <dcterms:modified xsi:type="dcterms:W3CDTF">2019-02-19T23:39:11Z</dcterms:modified>
</cp:coreProperties>
</file>